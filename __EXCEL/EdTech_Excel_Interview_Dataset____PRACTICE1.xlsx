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\Desktop\data-analysis-proj\EXCEL\"/>
    </mc:Choice>
  </mc:AlternateContent>
  <xr:revisionPtr revIDLastSave="0" documentId="13_ncr:1_{DFE3C315-F28D-41C0-8E8D-911618BD4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  <sheet name="Counselors" sheetId="2" r:id="rId2"/>
    <sheet name="Payments" sheetId="3" r:id="rId3"/>
    <sheet name="Leads" sheetId="4" r:id="rId4"/>
    <sheet name="Refunds" sheetId="5" r:id="rId5"/>
    <sheet name="Lookup" sheetId="6" r:id="rId6"/>
    <sheet name="Index&amp;Match" sheetId="7" r:id="rId7"/>
    <sheet name="Filter" sheetId="8" r:id="rId8"/>
    <sheet name="Pivot" sheetId="9" r:id="rId9"/>
    <sheet name="Sheet5" sheetId="10" r:id="rId10"/>
    <sheet name="Sheet6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M2" i="1" a="1"/>
  <c r="M2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9DBEE-C31D-43F4-8B9E-B0DF9573A9D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<sst xmlns="http://schemas.openxmlformats.org/spreadsheetml/2006/main" count="1912" uniqueCount="494">
  <si>
    <t>Student_ID</t>
  </si>
  <si>
    <t>Student_Name</t>
  </si>
  <si>
    <t>Gender</t>
  </si>
  <si>
    <t>DOB</t>
  </si>
  <si>
    <t>City</t>
  </si>
  <si>
    <t>Course</t>
  </si>
  <si>
    <t>Lead_Source</t>
  </si>
  <si>
    <t>Counselor_ID</t>
  </si>
  <si>
    <t>Enrollment_Date</t>
  </si>
  <si>
    <t>STU001</t>
  </si>
  <si>
    <t>Student_1</t>
  </si>
  <si>
    <t>Male</t>
  </si>
  <si>
    <t>Pune</t>
  </si>
  <si>
    <t>B.Tech</t>
  </si>
  <si>
    <t>Referral</t>
  </si>
  <si>
    <t>C002</t>
  </si>
  <si>
    <t>STU002</t>
  </si>
  <si>
    <t>Student_2</t>
  </si>
  <si>
    <t>Female</t>
  </si>
  <si>
    <t>Hyderabad</t>
  </si>
  <si>
    <t>MCA</t>
  </si>
  <si>
    <t>Google Ads</t>
  </si>
  <si>
    <t>C005</t>
  </si>
  <si>
    <t>STU003</t>
  </si>
  <si>
    <t>Student_3</t>
  </si>
  <si>
    <t>Mumbai</t>
  </si>
  <si>
    <t>C001</t>
  </si>
  <si>
    <t>STU004</t>
  </si>
  <si>
    <t>Student_4</t>
  </si>
  <si>
    <t>C003</t>
  </si>
  <si>
    <t>STU005</t>
  </si>
  <si>
    <t>Student_5</t>
  </si>
  <si>
    <t>Jaipur</t>
  </si>
  <si>
    <t>Facebook</t>
  </si>
  <si>
    <t>STU006</t>
  </si>
  <si>
    <t>Student_6</t>
  </si>
  <si>
    <t>BCA</t>
  </si>
  <si>
    <t>C004</t>
  </si>
  <si>
    <t>STU007</t>
  </si>
  <si>
    <t>Student_7</t>
  </si>
  <si>
    <t>Delhi</t>
  </si>
  <si>
    <t>STU008</t>
  </si>
  <si>
    <t>Student_8</t>
  </si>
  <si>
    <t>Website</t>
  </si>
  <si>
    <t>STU009</t>
  </si>
  <si>
    <t>Student_9</t>
  </si>
  <si>
    <t>STU010</t>
  </si>
  <si>
    <t>Student_10</t>
  </si>
  <si>
    <t>STU011</t>
  </si>
  <si>
    <t>Student_11</t>
  </si>
  <si>
    <t>STU012</t>
  </si>
  <si>
    <t>Student_12</t>
  </si>
  <si>
    <t>STU013</t>
  </si>
  <si>
    <t>Student_13</t>
  </si>
  <si>
    <t>Bangalore</t>
  </si>
  <si>
    <t>STU014</t>
  </si>
  <si>
    <t>Student_14</t>
  </si>
  <si>
    <t>STU015</t>
  </si>
  <si>
    <t>Student_15</t>
  </si>
  <si>
    <t>STU016</t>
  </si>
  <si>
    <t>Student_16</t>
  </si>
  <si>
    <t>STU017</t>
  </si>
  <si>
    <t>Student_17</t>
  </si>
  <si>
    <t>STU018</t>
  </si>
  <si>
    <t>Student_18</t>
  </si>
  <si>
    <t>STU019</t>
  </si>
  <si>
    <t>Student_19</t>
  </si>
  <si>
    <t>MBA</t>
  </si>
  <si>
    <t>STU020</t>
  </si>
  <si>
    <t>Student_20</t>
  </si>
  <si>
    <t>STU021</t>
  </si>
  <si>
    <t>Student_21</t>
  </si>
  <si>
    <t>STU022</t>
  </si>
  <si>
    <t>Student_22</t>
  </si>
  <si>
    <t>STU023</t>
  </si>
  <si>
    <t>Student_23</t>
  </si>
  <si>
    <t>STU024</t>
  </si>
  <si>
    <t>Student_24</t>
  </si>
  <si>
    <t>STU025</t>
  </si>
  <si>
    <t>Student_25</t>
  </si>
  <si>
    <t>STU026</t>
  </si>
  <si>
    <t>Student_26</t>
  </si>
  <si>
    <t>STU027</t>
  </si>
  <si>
    <t>Student_27</t>
  </si>
  <si>
    <t>STU028</t>
  </si>
  <si>
    <t>Student_28</t>
  </si>
  <si>
    <t>STU029</t>
  </si>
  <si>
    <t>Student_29</t>
  </si>
  <si>
    <t>STU030</t>
  </si>
  <si>
    <t>Student_30</t>
  </si>
  <si>
    <t>STU031</t>
  </si>
  <si>
    <t>Student_31</t>
  </si>
  <si>
    <t>STU032</t>
  </si>
  <si>
    <t>Student_32</t>
  </si>
  <si>
    <t>STU033</t>
  </si>
  <si>
    <t>Student_33</t>
  </si>
  <si>
    <t>STU034</t>
  </si>
  <si>
    <t>Student_34</t>
  </si>
  <si>
    <t>STU035</t>
  </si>
  <si>
    <t>Student_35</t>
  </si>
  <si>
    <t>STU036</t>
  </si>
  <si>
    <t>Student_36</t>
  </si>
  <si>
    <t>STU037</t>
  </si>
  <si>
    <t>Student_37</t>
  </si>
  <si>
    <t>STU038</t>
  </si>
  <si>
    <t>Student_38</t>
  </si>
  <si>
    <t>STU039</t>
  </si>
  <si>
    <t>Student_39</t>
  </si>
  <si>
    <t>STU040</t>
  </si>
  <si>
    <t>Student_40</t>
  </si>
  <si>
    <t>STU041</t>
  </si>
  <si>
    <t>Student_41</t>
  </si>
  <si>
    <t>STU042</t>
  </si>
  <si>
    <t>Student_42</t>
  </si>
  <si>
    <t>STU043</t>
  </si>
  <si>
    <t>Student_43</t>
  </si>
  <si>
    <t>STU044</t>
  </si>
  <si>
    <t>Student_44</t>
  </si>
  <si>
    <t>STU045</t>
  </si>
  <si>
    <t>Student_45</t>
  </si>
  <si>
    <t>STU046</t>
  </si>
  <si>
    <t>Student_46</t>
  </si>
  <si>
    <t>STU047</t>
  </si>
  <si>
    <t>Student_47</t>
  </si>
  <si>
    <t>STU048</t>
  </si>
  <si>
    <t>Student_48</t>
  </si>
  <si>
    <t>STU049</t>
  </si>
  <si>
    <t>Student_49</t>
  </si>
  <si>
    <t>STU050</t>
  </si>
  <si>
    <t>Student_50</t>
  </si>
  <si>
    <t>STU051</t>
  </si>
  <si>
    <t>Student_51</t>
  </si>
  <si>
    <t>STU052</t>
  </si>
  <si>
    <t>Student_52</t>
  </si>
  <si>
    <t>STU053</t>
  </si>
  <si>
    <t>Student_53</t>
  </si>
  <si>
    <t>STU054</t>
  </si>
  <si>
    <t>Student_54</t>
  </si>
  <si>
    <t>STU055</t>
  </si>
  <si>
    <t>Student_55</t>
  </si>
  <si>
    <t>STU056</t>
  </si>
  <si>
    <t>Student_56</t>
  </si>
  <si>
    <t>STU057</t>
  </si>
  <si>
    <t>Student_57</t>
  </si>
  <si>
    <t>STU058</t>
  </si>
  <si>
    <t>Student_58</t>
  </si>
  <si>
    <t>STU059</t>
  </si>
  <si>
    <t>Student_59</t>
  </si>
  <si>
    <t>STU060</t>
  </si>
  <si>
    <t>Student_60</t>
  </si>
  <si>
    <t>STU061</t>
  </si>
  <si>
    <t>Student_61</t>
  </si>
  <si>
    <t>STU062</t>
  </si>
  <si>
    <t>Student_62</t>
  </si>
  <si>
    <t>STU063</t>
  </si>
  <si>
    <t>Student_63</t>
  </si>
  <si>
    <t>STU064</t>
  </si>
  <si>
    <t>Student_64</t>
  </si>
  <si>
    <t>STU065</t>
  </si>
  <si>
    <t>Student_65</t>
  </si>
  <si>
    <t>STU066</t>
  </si>
  <si>
    <t>Student_66</t>
  </si>
  <si>
    <t>STU067</t>
  </si>
  <si>
    <t>Student_67</t>
  </si>
  <si>
    <t>STU068</t>
  </si>
  <si>
    <t>Student_68</t>
  </si>
  <si>
    <t>STU069</t>
  </si>
  <si>
    <t>Student_69</t>
  </si>
  <si>
    <t>STU070</t>
  </si>
  <si>
    <t>Student_70</t>
  </si>
  <si>
    <t>STU071</t>
  </si>
  <si>
    <t>Student_71</t>
  </si>
  <si>
    <t>STU072</t>
  </si>
  <si>
    <t>Student_72</t>
  </si>
  <si>
    <t>STU073</t>
  </si>
  <si>
    <t>Student_73</t>
  </si>
  <si>
    <t>STU074</t>
  </si>
  <si>
    <t>Student_74</t>
  </si>
  <si>
    <t>STU075</t>
  </si>
  <si>
    <t>Student_75</t>
  </si>
  <si>
    <t>STU076</t>
  </si>
  <si>
    <t>Student_76</t>
  </si>
  <si>
    <t>STU077</t>
  </si>
  <si>
    <t>Student_77</t>
  </si>
  <si>
    <t>STU078</t>
  </si>
  <si>
    <t>Student_78</t>
  </si>
  <si>
    <t>STU079</t>
  </si>
  <si>
    <t>Student_79</t>
  </si>
  <si>
    <t>STU080</t>
  </si>
  <si>
    <t>Student_80</t>
  </si>
  <si>
    <t>STU081</t>
  </si>
  <si>
    <t>Student_81</t>
  </si>
  <si>
    <t>STU082</t>
  </si>
  <si>
    <t>Student_82</t>
  </si>
  <si>
    <t>STU083</t>
  </si>
  <si>
    <t>Student_83</t>
  </si>
  <si>
    <t>STU084</t>
  </si>
  <si>
    <t>Student_84</t>
  </si>
  <si>
    <t>STU085</t>
  </si>
  <si>
    <t>Student_85</t>
  </si>
  <si>
    <t>STU086</t>
  </si>
  <si>
    <t>Student_86</t>
  </si>
  <si>
    <t>STU087</t>
  </si>
  <si>
    <t>Student_87</t>
  </si>
  <si>
    <t>STU088</t>
  </si>
  <si>
    <t>Student_88</t>
  </si>
  <si>
    <t>STU089</t>
  </si>
  <si>
    <t>Student_89</t>
  </si>
  <si>
    <t>STU090</t>
  </si>
  <si>
    <t>Student_90</t>
  </si>
  <si>
    <t>STU091</t>
  </si>
  <si>
    <t>Student_91</t>
  </si>
  <si>
    <t>STU092</t>
  </si>
  <si>
    <t>Student_92</t>
  </si>
  <si>
    <t>STU093</t>
  </si>
  <si>
    <t>Student_93</t>
  </si>
  <si>
    <t>STU094</t>
  </si>
  <si>
    <t>Student_94</t>
  </si>
  <si>
    <t>STU095</t>
  </si>
  <si>
    <t>Student_95</t>
  </si>
  <si>
    <t>STU096</t>
  </si>
  <si>
    <t>Student_96</t>
  </si>
  <si>
    <t>STU097</t>
  </si>
  <si>
    <t>Student_97</t>
  </si>
  <si>
    <t>STU098</t>
  </si>
  <si>
    <t>Student_98</t>
  </si>
  <si>
    <t>STU099</t>
  </si>
  <si>
    <t>Student_99</t>
  </si>
  <si>
    <t>STU100</t>
  </si>
  <si>
    <t>Student_100</t>
  </si>
  <si>
    <t>Counselor_Name</t>
  </si>
  <si>
    <t>Team</t>
  </si>
  <si>
    <t>Joining_Date</t>
  </si>
  <si>
    <t>Monthly_Target</t>
  </si>
  <si>
    <t>Counselor_1</t>
  </si>
  <si>
    <t>Tech Team</t>
  </si>
  <si>
    <t>Counselor_2</t>
  </si>
  <si>
    <t>MBA Team</t>
  </si>
  <si>
    <t>Counselor_3</t>
  </si>
  <si>
    <t>Counselor_4</t>
  </si>
  <si>
    <t>Counselor_5</t>
  </si>
  <si>
    <t>UG Team</t>
  </si>
  <si>
    <t>Payment_ID</t>
  </si>
  <si>
    <t>Payment_Date</t>
  </si>
  <si>
    <t>Amount</t>
  </si>
  <si>
    <t>Payment_Mode</t>
  </si>
  <si>
    <t>Status</t>
  </si>
  <si>
    <t>PAY001</t>
  </si>
  <si>
    <t>Credit Card</t>
  </si>
  <si>
    <t>Success</t>
  </si>
  <si>
    <t>PAY002</t>
  </si>
  <si>
    <t>Net Banking</t>
  </si>
  <si>
    <t>Pending</t>
  </si>
  <si>
    <t>PAY003</t>
  </si>
  <si>
    <t>PAY004</t>
  </si>
  <si>
    <t>UPI</t>
  </si>
  <si>
    <t>PAY005</t>
  </si>
  <si>
    <t>PAY006</t>
  </si>
  <si>
    <t>PAY007</t>
  </si>
  <si>
    <t>PAY008</t>
  </si>
  <si>
    <t>PAY009</t>
  </si>
  <si>
    <t>PAY010</t>
  </si>
  <si>
    <t>PAY011</t>
  </si>
  <si>
    <t>PAY012</t>
  </si>
  <si>
    <t>PAY013</t>
  </si>
  <si>
    <t>PAY014</t>
  </si>
  <si>
    <t>PAY015</t>
  </si>
  <si>
    <t>PAY016</t>
  </si>
  <si>
    <t>PAY017</t>
  </si>
  <si>
    <t>PAY018</t>
  </si>
  <si>
    <t>PAY019</t>
  </si>
  <si>
    <t>PAY020</t>
  </si>
  <si>
    <t>PAY021</t>
  </si>
  <si>
    <t>PAY022</t>
  </si>
  <si>
    <t>PAY023</t>
  </si>
  <si>
    <t>PAY024</t>
  </si>
  <si>
    <t>PAY025</t>
  </si>
  <si>
    <t>PAY026</t>
  </si>
  <si>
    <t>PAY027</t>
  </si>
  <si>
    <t>PAY028</t>
  </si>
  <si>
    <t>PAY029</t>
  </si>
  <si>
    <t>PAY030</t>
  </si>
  <si>
    <t>PAY031</t>
  </si>
  <si>
    <t>PAY032</t>
  </si>
  <si>
    <t>PAY033</t>
  </si>
  <si>
    <t>PAY034</t>
  </si>
  <si>
    <t>PAY035</t>
  </si>
  <si>
    <t>PAY036</t>
  </si>
  <si>
    <t>PAY037</t>
  </si>
  <si>
    <t>PAY038</t>
  </si>
  <si>
    <t>PAY039</t>
  </si>
  <si>
    <t>PAY040</t>
  </si>
  <si>
    <t>PAY041</t>
  </si>
  <si>
    <t>PAY042</t>
  </si>
  <si>
    <t>PAY043</t>
  </si>
  <si>
    <t>PAY044</t>
  </si>
  <si>
    <t>PAY045</t>
  </si>
  <si>
    <t>PAY046</t>
  </si>
  <si>
    <t>PAY047</t>
  </si>
  <si>
    <t>PAY048</t>
  </si>
  <si>
    <t>PAY049</t>
  </si>
  <si>
    <t>PAY050</t>
  </si>
  <si>
    <t>PAY051</t>
  </si>
  <si>
    <t>PAY052</t>
  </si>
  <si>
    <t>PAY053</t>
  </si>
  <si>
    <t>PAY054</t>
  </si>
  <si>
    <t>PAY055</t>
  </si>
  <si>
    <t>PAY056</t>
  </si>
  <si>
    <t>PAY057</t>
  </si>
  <si>
    <t>PAY058</t>
  </si>
  <si>
    <t>PAY059</t>
  </si>
  <si>
    <t>PAY060</t>
  </si>
  <si>
    <t>PAY061</t>
  </si>
  <si>
    <t>PAY062</t>
  </si>
  <si>
    <t>PAY063</t>
  </si>
  <si>
    <t>PAY064</t>
  </si>
  <si>
    <t>PAY065</t>
  </si>
  <si>
    <t>PAY066</t>
  </si>
  <si>
    <t>PAY067</t>
  </si>
  <si>
    <t>PAY068</t>
  </si>
  <si>
    <t>PAY069</t>
  </si>
  <si>
    <t>PAY070</t>
  </si>
  <si>
    <t>PAY071</t>
  </si>
  <si>
    <t>PAY072</t>
  </si>
  <si>
    <t>PAY073</t>
  </si>
  <si>
    <t>PAY074</t>
  </si>
  <si>
    <t>PAY075</t>
  </si>
  <si>
    <t>PAY076</t>
  </si>
  <si>
    <t>PAY077</t>
  </si>
  <si>
    <t>PAY078</t>
  </si>
  <si>
    <t>PAY079</t>
  </si>
  <si>
    <t>PAY080</t>
  </si>
  <si>
    <t>PAY081</t>
  </si>
  <si>
    <t>PAY082</t>
  </si>
  <si>
    <t>PAY083</t>
  </si>
  <si>
    <t>PAY084</t>
  </si>
  <si>
    <t>PAY085</t>
  </si>
  <si>
    <t>PAY086</t>
  </si>
  <si>
    <t>PAY087</t>
  </si>
  <si>
    <t>PAY088</t>
  </si>
  <si>
    <t>PAY089</t>
  </si>
  <si>
    <t>PAY090</t>
  </si>
  <si>
    <t>PAY091</t>
  </si>
  <si>
    <t>PAY092</t>
  </si>
  <si>
    <t>PAY093</t>
  </si>
  <si>
    <t>PAY094</t>
  </si>
  <si>
    <t>PAY095</t>
  </si>
  <si>
    <t>PAY096</t>
  </si>
  <si>
    <t>PAY097</t>
  </si>
  <si>
    <t>PAY098</t>
  </si>
  <si>
    <t>PAY099</t>
  </si>
  <si>
    <t>PAY100</t>
  </si>
  <si>
    <t>Lead_ID</t>
  </si>
  <si>
    <t>Lead_Date</t>
  </si>
  <si>
    <t>Course_Interest</t>
  </si>
  <si>
    <t>Assigned_Counselor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</si>
  <si>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</si>
  <si>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</si>
  <si>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</si>
  <si>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</si>
  <si>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</si>
  <si>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</si>
  <si>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</si>
  <si>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</si>
  <si>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</si>
  <si>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</si>
  <si>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</si>
  <si>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</si>
  <si>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</si>
  <si>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</si>
  <si>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</si>
  <si>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</si>
  <si>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</si>
  <si>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</si>
  <si>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</si>
  <si>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</si>
  <si>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</si>
  <si>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</si>
  <si>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</si>
  <si>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</si>
  <si>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</si>
  <si>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</si>
  <si>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</si>
  <si>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</si>
  <si>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</si>
  <si>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</si>
  <si>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</si>
  <si>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</si>
  <si>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</si>
  <si>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</si>
  <si>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</si>
  <si>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</si>
  <si>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</si>
  <si>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</si>
  <si>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</si>
  <si>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</si>
  <si>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</si>
  <si>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</si>
  <si>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</si>
  <si>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</si>
  <si>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</si>
  <si>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</si>
  <si>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</si>
  <si>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</si>
  <si>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</si>
  <si>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</si>
  <si>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</si>
  <si>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</si>
  <si>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</si>
  <si>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</si>
  <si>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</si>
  <si>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</si>
  <si>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</si>
  <si>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</si>
  <si>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</si>
  <si>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</si>
  <si>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</si>
  <si>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</si>
  <si>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</si>
  <si>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</si>
  <si>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</si>
  <si>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</si>
  <si>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</si>
  <si>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</si>
  <si>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</si>
  <si>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</si>
  <si>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</si>
  <si>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</si>
  <si>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</si>
  <si>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</si>
  <si>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</si>
  <si>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</si>
  <si>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</si>
  <si>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</si>
  <si>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</si>
  <si>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</si>
  <si>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</si>
  <si>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</si>
  <si>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</si>
  <si>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</si>
  <si>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</si>
  <si>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</si>
  <si>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</si>
  <si>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</si>
  <si>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</si>
  <si>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</si>
  <si>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</si>
  <si>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</si>
  <si>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</si>
  <si>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</si>
  <si>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</si>
  <si>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</si>
  <si>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</si>
  <si>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</si>
  <si>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</si>
  <si>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</si>
  <si>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Refund_ID</t>
  </si>
  <si>
    <t>Refund_Date</t>
  </si>
  <si>
    <t>Refund_Amount</t>
  </si>
  <si>
    <t>Reason</t>
  </si>
  <si>
    <t>R001</t>
  </si>
  <si>
    <t>Duplicate Payment</t>
  </si>
  <si>
    <t>R002</t>
  </si>
  <si>
    <t>Course Change</t>
  </si>
  <si>
    <t>R003</t>
  </si>
  <si>
    <t>R004</t>
  </si>
  <si>
    <t>R005</t>
  </si>
  <si>
    <t>R006</t>
  </si>
  <si>
    <t>R007</t>
  </si>
  <si>
    <t>R008</t>
  </si>
  <si>
    <t>Admission Cancelled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</si>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</sst>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yyyy\-mm\-dd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A1AFF-6D00-43CC-99B5-39D8E6728090}" name="Students" displayName="Students" ref="A1:J101" totalsRowShown="0" headerRowDxfId="26" dataDxfId="25">
  <autoFilter ref="A1:J101" xr:uid="{8F6A1AFF-6D00-43CC-99B5-39D8E6728090}"/>
  <tableColumns count="10">
    <tableColumn id="1" xr3:uid="{40942255-22F8-4D48-9814-9E5B3D691C5A}" name="Student_ID" dataDxfId="24"/>
    <tableColumn id="2" xr3:uid="{3B7C6B75-1F4E-4442-A775-7464C628AB76}" name="Student_Name" dataDxfId="23"/>
    <tableColumn id="10" xr3:uid="{82D15187-002E-4346-97D0-537B2C09CBD5}" name="email_id" dataDxfId="22">
      <calculatedColumnFormula>_xlfn.CONCAT(Students[[#This Row],[Student_Name]],"@gmail.com")</calculatedColumnFormula>
    </tableColumn>
    <tableColumn id="3" xr3:uid="{EBAA39B5-65F1-48FA-A610-C8F717771F40}" name="Gender" dataDxfId="21"/>
    <tableColumn id="4" xr3:uid="{544B1372-C2F1-4BBB-9428-7171581BFE2C}" name="DOB" dataDxfId="20"/>
    <tableColumn id="5" xr3:uid="{616CAE54-C4AE-4B12-BB0C-822B03D99045}" name="City" dataDxfId="19"/>
    <tableColumn id="6" xr3:uid="{64B2737D-C659-4F2C-87B1-6F35682299DE}" name="Course" dataDxfId="18"/>
    <tableColumn id="7" xr3:uid="{7288278C-FD46-443D-ABCC-AB507A299479}" name="Lead_Source" dataDxfId="17"/>
    <tableColumn id="8" xr3:uid="{F65602A7-2AAB-4E4F-9510-D7629514755D}" name="Counselor_ID" dataDxfId="16"/>
    <tableColumn id="9" xr3:uid="{D89550E6-D98E-4E89-9C62-979604D16EFB}" name="Enrollment_Date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9E6F6-3244-4F46-A7CD-B837E04A184C}" name="Table2" displayName="Table2" ref="A1:F6" totalsRowShown="0">
  <autoFilter ref="A1:F6" xr:uid="{1FE9E6F6-3244-4F46-A7CD-B837E04A184C}"/>
  <tableColumns count="6">
    <tableColumn id="1" xr3:uid="{0C7B1B84-B664-4B5B-9F2E-D415A4B0DFA3}" name="Counselor_ID"/>
    <tableColumn id="2" xr3:uid="{2AB125E7-1F96-499F-AD18-E4E8133594E1}" name="Counselor_Name"/>
    <tableColumn id="3" xr3:uid="{8C1CCA01-82E6-46DD-8E0D-8C912CD05EA0}" name="Team"/>
    <tableColumn id="4" xr3:uid="{9A1E26C6-9EF9-4EBA-BC06-4C2FD6B0B1B7}" name="City"/>
    <tableColumn id="5" xr3:uid="{3F2C6A31-F3F9-48E7-8DB4-77391C766A01}" name="Joining_Date" dataDxfId="14"/>
    <tableColumn id="6" xr3:uid="{106BBB19-98E0-4851-B21A-5BDF98524CCD}" name="Monthly_Targe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7676C-3B6D-4FB2-AF3F-20F36D579D48}" name="Table3" displayName="Table3" ref="A1:F101" totalsRowShown="0" headerRowDxfId="13" dataDxfId="12">
  <autoFilter ref="A1:F101" xr:uid="{2BA7676C-3B6D-4FB2-AF3F-20F36D579D48}"/>
  <tableColumns count="6">
    <tableColumn id="1" xr3:uid="{8D5FA49F-13AB-41AA-B4B1-1BBE24A867DD}" name="Payment_ID" dataDxfId="11"/>
    <tableColumn id="2" xr3:uid="{49E9E94E-0773-4C49-B1A1-FE8E2C5D3B08}" name="Student_ID" dataDxfId="10"/>
    <tableColumn id="3" xr3:uid="{2872B856-0254-414E-B07B-A06306E8DEE8}" name="Payment_Date" dataDxfId="9"/>
    <tableColumn id="4" xr3:uid="{85960AE5-173B-4430-A3C3-EB8405215704}" name="Amount" dataDxfId="8"/>
    <tableColumn id="5" xr3:uid="{F25AA854-FC6C-4280-8EE6-BCB4D056068F}" name="Payment_Mode" dataDxfId="7"/>
    <tableColumn id="6" xr3:uid="{94AFB1EF-F3C9-494F-A1C3-6B7D34CC93AB}" name="Status" dataDxfId="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8DA1D6-D16E-4DC5-A49C-0AFB98B78D39}" name="Table4" displayName="Table4" ref="A1:F101" totalsRowShown="0">
  <autoFilter ref="A1:F101" xr:uid="{418DA1D6-D16E-4DC5-A49C-0AFB98B78D39}"/>
  <tableColumns count="6">
    <tableColumn id="1" xr3:uid="{16BA0376-3C3B-44F1-858B-94B588B82468}" name="Lead_ID"/>
    <tableColumn id="2" xr3:uid="{FCD40F00-F6F6-47EE-81D0-211D8D121245}" name="Lead_Date" dataDxfId="5"/>
    <tableColumn id="3" xr3:uid="{98942051-7C5B-4737-B742-EF3D09A331EB}" name="Lead_Source"/>
    <tableColumn id="4" xr3:uid="{71B2F86F-56D6-4BDF-8559-F56619B6405D}" name="City"/>
    <tableColumn id="5" xr3:uid="{1970D336-8996-4444-BF45-285D058A90BB}" name="Course_Interest"/>
    <tableColumn id="6" xr3:uid="{75648FD2-4492-4893-B34E-2E29A29C43E7}" name="Assigned_Counse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58A410-306E-4600-8E52-37317DE6A2EF}" name="Table5" displayName="Table5" ref="A1:E31" totalsRowShown="0">
  <autoFilter ref="A1:E31" xr:uid="{CF58A410-306E-4600-8E52-37317DE6A2EF}"/>
  <tableColumns count="5">
    <tableColumn id="1" xr3:uid="{7A434FB9-6E3A-42BA-B7FF-0C3AD057CEDB}" name="Refund_ID"/>
    <tableColumn id="2" xr3:uid="{FE1E8AAC-F85F-45B7-B842-6FDD2AFDB41D}" name="Student_ID"/>
    <tableColumn id="3" xr3:uid="{E39D0C75-1EF3-400C-9646-209B6E1395B6}" name="Refund_Date" dataDxfId="4"/>
    <tableColumn id="4" xr3:uid="{BFDC54EB-91E3-48D1-B6C0-830CF6EB779B}" name="Refund_Amount" dataDxfId="3"/>
    <tableColumn id="5" xr3:uid="{88BF76A2-CF5A-47C2-A99E-309CBCB2BCE6}" name="Reas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E0F83A-F1D0-4CAD-B208-75483528F3D7}" name="Table7" displayName="Table7" ref="A1:A101" totalsRowShown="0" headerRowDxfId="2" dataDxfId="1">
  <autoFilter ref="A1:A101" xr:uid="{CBE0F83A-F1D0-4CAD-B208-75483528F3D7}"/>
  <tableColumns count="1">
    <tableColumn id="1" xr3:uid="{0EA0E916-9151-48E0-944B-2D48A4A21C8B}" name="Student_ID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O101"/>
  <sheetViews>
    <sheetView tabSelected="1" zoomScale="87" workbookViewId="0">
      <selection activeCell="N11" sqref="N11"/>
    </sheetView>
  </sheetViews>
  <sheetFormatPr defaultRowHeight="15" x14ac:dyDescent="0.25"/>
  <cols>
    <col min="1" max="1" width="19" bestFit="1" customWidth="1"/>
    <col min="2" max="2" width="23.42578125" bestFit="1" customWidth="1"/>
    <col min="3" max="3" width="24" bestFit="1" customWidth="1"/>
    <col min="4" max="4" width="14.5703125" bestFit="1" customWidth="1"/>
    <col min="5" max="5" width="11.5703125" style="4" bestFit="1" customWidth="1"/>
    <col min="6" max="6" width="11" bestFit="1" customWidth="1"/>
    <col min="7" max="7" width="14" bestFit="1" customWidth="1"/>
    <col min="8" max="8" width="20.85546875" bestFit="1" customWidth="1"/>
    <col min="9" max="9" width="21.28515625" bestFit="1" customWidth="1"/>
    <col min="10" max="10" width="25.7109375" style="4" bestFit="1" customWidth="1"/>
    <col min="11" max="11" width="10.42578125" customWidth="1"/>
    <col min="13" max="13" width="12.28515625" bestFit="1" customWidth="1"/>
  </cols>
  <sheetData>
    <row r="1" spans="1:15" s="6" customFormat="1" ht="18.75" x14ac:dyDescent="0.3">
      <c r="A1" s="6" t="s">
        <v>0</v>
      </c>
      <c r="B1" s="6" t="s">
        <v>1</v>
      </c>
      <c r="C1" s="6" t="s">
        <v>493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5" x14ac:dyDescent="0.25">
      <c r="A2" t="s">
        <v>9</v>
      </c>
      <c r="B2" t="s">
        <v>10</v>
      </c>
      <c r="C2" t="str">
        <f>_xlfn.CONCAT(Students[[#This Row],[Student_Name]],"@gmail.com")</f>
        <v>Student_1@gmail.com</v>
      </c>
      <c r="D2" t="s">
        <v>11</v>
      </c>
      <c r="E2" s="5">
        <v>38084</v>
      </c>
      <c r="F2" t="s">
        <v>12</v>
      </c>
      <c r="G2" t="s">
        <v>13</v>
      </c>
      <c r="H2" t="s">
        <v>14</v>
      </c>
      <c r="I2" t="s">
        <v>15</v>
      </c>
      <c r="J2" s="5">
        <v>45310</v>
      </c>
      <c r="M2" s="7" t="str" cm="1">
        <f t="array" ref="M2:M7">_xlfn.UNIQUE(H:H)</f>
        <v>Lead_Source</v>
      </c>
      <c r="O2" t="str" cm="1">
        <f t="array" ref="O2:O5">_xlfn.UNIQUE(Students[Lead_Source])</f>
        <v>Referral</v>
      </c>
    </row>
    <row r="3" spans="1:15" x14ac:dyDescent="0.25">
      <c r="A3" t="s">
        <v>16</v>
      </c>
      <c r="B3" t="s">
        <v>17</v>
      </c>
      <c r="C3" t="str">
        <f>_xlfn.CONCAT(Students[[#This Row],[Student_Name]],"@gmail.com")</f>
        <v>Student_2@gmail.com</v>
      </c>
      <c r="D3" t="s">
        <v>18</v>
      </c>
      <c r="E3" s="5">
        <v>36703</v>
      </c>
      <c r="F3" t="s">
        <v>19</v>
      </c>
      <c r="G3" t="s">
        <v>20</v>
      </c>
      <c r="H3" t="s">
        <v>21</v>
      </c>
      <c r="I3" t="s">
        <v>22</v>
      </c>
      <c r="J3" s="5">
        <v>45325</v>
      </c>
      <c r="M3" t="str">
        <v>Referral</v>
      </c>
      <c r="O3" t="str">
        <v>Google Ads</v>
      </c>
    </row>
    <row r="4" spans="1:15" x14ac:dyDescent="0.25">
      <c r="A4" t="s">
        <v>23</v>
      </c>
      <c r="B4" t="s">
        <v>24</v>
      </c>
      <c r="C4" t="str">
        <f>_xlfn.CONCAT(Students[[#This Row],[Student_Name]],"@gmail.com")</f>
        <v>Student_3@gmail.com</v>
      </c>
      <c r="D4" t="s">
        <v>11</v>
      </c>
      <c r="E4" s="5">
        <v>38100</v>
      </c>
      <c r="F4" t="s">
        <v>25</v>
      </c>
      <c r="G4" t="s">
        <v>20</v>
      </c>
      <c r="H4" t="s">
        <v>14</v>
      </c>
      <c r="I4" t="s">
        <v>26</v>
      </c>
      <c r="J4" s="5">
        <v>45299</v>
      </c>
      <c r="M4" t="str">
        <v>Google Ads</v>
      </c>
      <c r="O4" t="str">
        <v>Facebook</v>
      </c>
    </row>
    <row r="5" spans="1:15" x14ac:dyDescent="0.25">
      <c r="A5" t="s">
        <v>27</v>
      </c>
      <c r="B5" t="s">
        <v>28</v>
      </c>
      <c r="C5" t="str">
        <f>_xlfn.CONCAT(Students[[#This Row],[Student_Name]],"@gmail.com")</f>
        <v>Student_4@gmail.com</v>
      </c>
      <c r="D5" t="s">
        <v>11</v>
      </c>
      <c r="E5" s="5">
        <v>36808</v>
      </c>
      <c r="F5" t="s">
        <v>12</v>
      </c>
      <c r="G5" t="s">
        <v>20</v>
      </c>
      <c r="H5" t="s">
        <v>14</v>
      </c>
      <c r="I5" t="s">
        <v>29</v>
      </c>
      <c r="J5" s="5">
        <v>45371</v>
      </c>
      <c r="M5" t="str">
        <v>Facebook</v>
      </c>
      <c r="O5" t="str">
        <v>Website</v>
      </c>
    </row>
    <row r="6" spans="1:15" x14ac:dyDescent="0.25">
      <c r="A6" t="s">
        <v>30</v>
      </c>
      <c r="B6" t="s">
        <v>31</v>
      </c>
      <c r="C6" t="str">
        <f>_xlfn.CONCAT(Students[[#This Row],[Student_Name]],"@gmail.com")</f>
        <v>Student_5@gmail.com</v>
      </c>
      <c r="D6" t="s">
        <v>18</v>
      </c>
      <c r="E6" s="5">
        <v>36644</v>
      </c>
      <c r="F6" t="s">
        <v>32</v>
      </c>
      <c r="G6" t="s">
        <v>13</v>
      </c>
      <c r="H6" t="s">
        <v>33</v>
      </c>
      <c r="I6" t="s">
        <v>15</v>
      </c>
      <c r="J6" s="5">
        <v>45352</v>
      </c>
      <c r="M6" t="str">
        <v>Website</v>
      </c>
    </row>
    <row r="7" spans="1:15" x14ac:dyDescent="0.25">
      <c r="A7" t="s">
        <v>34</v>
      </c>
      <c r="B7" t="s">
        <v>35</v>
      </c>
      <c r="C7" t="str">
        <f>_xlfn.CONCAT(Students[[#This Row],[Student_Name]],"@gmail.com")</f>
        <v>Student_6@gmail.com</v>
      </c>
      <c r="D7" t="s">
        <v>18</v>
      </c>
      <c r="E7" s="5">
        <v>38096</v>
      </c>
      <c r="F7" t="s">
        <v>25</v>
      </c>
      <c r="G7" t="s">
        <v>36</v>
      </c>
      <c r="H7" t="s">
        <v>21</v>
      </c>
      <c r="I7" t="s">
        <v>37</v>
      </c>
      <c r="J7" s="5">
        <v>45374</v>
      </c>
      <c r="M7">
        <v>0</v>
      </c>
    </row>
    <row r="8" spans="1:15" x14ac:dyDescent="0.25">
      <c r="A8" t="s">
        <v>38</v>
      </c>
      <c r="B8" t="s">
        <v>39</v>
      </c>
      <c r="C8" t="str">
        <f>_xlfn.CONCAT(Students[[#This Row],[Student_Name]],"@gmail.com")</f>
        <v>Student_7@gmail.com</v>
      </c>
      <c r="D8" t="s">
        <v>11</v>
      </c>
      <c r="E8" s="5">
        <v>37076</v>
      </c>
      <c r="F8" t="s">
        <v>40</v>
      </c>
      <c r="G8" t="s">
        <v>20</v>
      </c>
      <c r="H8" t="s">
        <v>21</v>
      </c>
      <c r="I8" t="s">
        <v>29</v>
      </c>
      <c r="J8" s="5">
        <v>45325</v>
      </c>
    </row>
    <row r="9" spans="1:15" x14ac:dyDescent="0.25">
      <c r="A9" t="s">
        <v>41</v>
      </c>
      <c r="B9" t="s">
        <v>42</v>
      </c>
      <c r="C9" t="str">
        <f>_xlfn.CONCAT(Students[[#This Row],[Student_Name]],"@gmail.com")</f>
        <v>Student_8@gmail.com</v>
      </c>
      <c r="D9" t="s">
        <v>11</v>
      </c>
      <c r="E9" s="5">
        <v>37582</v>
      </c>
      <c r="F9" t="s">
        <v>40</v>
      </c>
      <c r="G9" t="s">
        <v>20</v>
      </c>
      <c r="H9" t="s">
        <v>43</v>
      </c>
      <c r="I9" t="s">
        <v>26</v>
      </c>
      <c r="J9" s="5">
        <v>45302</v>
      </c>
    </row>
    <row r="10" spans="1:15" x14ac:dyDescent="0.25">
      <c r="A10" t="s">
        <v>44</v>
      </c>
      <c r="B10" t="s">
        <v>45</v>
      </c>
      <c r="C10" t="str">
        <f>_xlfn.CONCAT(Students[[#This Row],[Student_Name]],"@gmail.com")</f>
        <v>Student_9@gmail.com</v>
      </c>
      <c r="D10" t="s">
        <v>18</v>
      </c>
      <c r="E10" s="5">
        <v>37912</v>
      </c>
      <c r="F10" t="s">
        <v>40</v>
      </c>
      <c r="G10" t="s">
        <v>20</v>
      </c>
      <c r="H10" t="s">
        <v>33</v>
      </c>
      <c r="I10" t="s">
        <v>29</v>
      </c>
      <c r="J10" s="5">
        <v>45311</v>
      </c>
    </row>
    <row r="11" spans="1:15" x14ac:dyDescent="0.25">
      <c r="A11" t="s">
        <v>46</v>
      </c>
      <c r="B11" t="s">
        <v>47</v>
      </c>
      <c r="C11" t="str">
        <f>_xlfn.CONCAT(Students[[#This Row],[Student_Name]],"@gmail.com")</f>
        <v>Student_10@gmail.com</v>
      </c>
      <c r="D11" t="s">
        <v>18</v>
      </c>
      <c r="E11" s="5">
        <v>36477</v>
      </c>
      <c r="F11" t="s">
        <v>19</v>
      </c>
      <c r="G11" t="s">
        <v>36</v>
      </c>
      <c r="H11" t="s">
        <v>21</v>
      </c>
      <c r="I11" t="s">
        <v>15</v>
      </c>
      <c r="J11" s="5">
        <v>45395</v>
      </c>
    </row>
    <row r="12" spans="1:15" x14ac:dyDescent="0.25">
      <c r="A12" t="s">
        <v>48</v>
      </c>
      <c r="B12" t="s">
        <v>49</v>
      </c>
      <c r="C12" t="str">
        <f>_xlfn.CONCAT(Students[[#This Row],[Student_Name]],"@gmail.com")</f>
        <v>Student_11@gmail.com</v>
      </c>
      <c r="D12" t="s">
        <v>11</v>
      </c>
      <c r="E12" s="5">
        <v>37355</v>
      </c>
      <c r="F12" t="s">
        <v>25</v>
      </c>
      <c r="G12" t="s">
        <v>13</v>
      </c>
      <c r="H12" t="s">
        <v>43</v>
      </c>
      <c r="I12" t="s">
        <v>22</v>
      </c>
      <c r="J12" s="5">
        <v>45389</v>
      </c>
    </row>
    <row r="13" spans="1:15" x14ac:dyDescent="0.25">
      <c r="A13" t="s">
        <v>50</v>
      </c>
      <c r="B13" t="s">
        <v>51</v>
      </c>
      <c r="C13" t="str">
        <f>_xlfn.CONCAT(Students[[#This Row],[Student_Name]],"@gmail.com")</f>
        <v>Student_12@gmail.com</v>
      </c>
      <c r="D13" t="s">
        <v>18</v>
      </c>
      <c r="E13" s="5">
        <v>37965</v>
      </c>
      <c r="F13" t="s">
        <v>12</v>
      </c>
      <c r="G13" t="s">
        <v>13</v>
      </c>
      <c r="H13" t="s">
        <v>21</v>
      </c>
      <c r="I13" t="s">
        <v>26</v>
      </c>
      <c r="J13" s="5">
        <v>45365</v>
      </c>
    </row>
    <row r="14" spans="1:15" x14ac:dyDescent="0.25">
      <c r="A14" t="s">
        <v>52</v>
      </c>
      <c r="B14" t="s">
        <v>53</v>
      </c>
      <c r="C14" t="str">
        <f>_xlfn.CONCAT(Students[[#This Row],[Student_Name]],"@gmail.com")</f>
        <v>Student_13@gmail.com</v>
      </c>
      <c r="D14" t="s">
        <v>11</v>
      </c>
      <c r="E14" s="5">
        <v>37975</v>
      </c>
      <c r="F14" t="s">
        <v>54</v>
      </c>
      <c r="G14" t="s">
        <v>13</v>
      </c>
      <c r="H14" t="s">
        <v>43</v>
      </c>
      <c r="I14" t="s">
        <v>29</v>
      </c>
      <c r="J14" s="5">
        <v>45376</v>
      </c>
    </row>
    <row r="15" spans="1:15" x14ac:dyDescent="0.25">
      <c r="A15" t="s">
        <v>55</v>
      </c>
      <c r="B15" t="s">
        <v>56</v>
      </c>
      <c r="C15" t="str">
        <f>_xlfn.CONCAT(Students[[#This Row],[Student_Name]],"@gmail.com")</f>
        <v>Student_14@gmail.com</v>
      </c>
      <c r="D15" t="s">
        <v>18</v>
      </c>
      <c r="E15" s="5">
        <v>36958</v>
      </c>
      <c r="F15" t="s">
        <v>40</v>
      </c>
      <c r="G15" t="s">
        <v>36</v>
      </c>
      <c r="H15" t="s">
        <v>14</v>
      </c>
      <c r="I15" t="s">
        <v>15</v>
      </c>
      <c r="J15" s="5">
        <v>45385</v>
      </c>
    </row>
    <row r="16" spans="1:15" x14ac:dyDescent="0.25">
      <c r="A16" t="s">
        <v>57</v>
      </c>
      <c r="B16" t="s">
        <v>58</v>
      </c>
      <c r="C16" t="str">
        <f>_xlfn.CONCAT(Students[[#This Row],[Student_Name]],"@gmail.com")</f>
        <v>Student_15@gmail.com</v>
      </c>
      <c r="D16" t="s">
        <v>18</v>
      </c>
      <c r="E16" s="5">
        <v>37968</v>
      </c>
      <c r="F16" t="s">
        <v>12</v>
      </c>
      <c r="G16" t="s">
        <v>20</v>
      </c>
      <c r="H16" t="s">
        <v>43</v>
      </c>
      <c r="I16" t="s">
        <v>15</v>
      </c>
      <c r="J16" s="5">
        <v>45311</v>
      </c>
    </row>
    <row r="17" spans="1:10" x14ac:dyDescent="0.25">
      <c r="A17" t="s">
        <v>59</v>
      </c>
      <c r="B17" t="s">
        <v>60</v>
      </c>
      <c r="C17" t="str">
        <f>_xlfn.CONCAT(Students[[#This Row],[Student_Name]],"@gmail.com")</f>
        <v>Student_16@gmail.com</v>
      </c>
      <c r="D17" t="s">
        <v>18</v>
      </c>
      <c r="E17" s="5">
        <v>37517</v>
      </c>
      <c r="F17" t="s">
        <v>12</v>
      </c>
      <c r="G17" t="s">
        <v>13</v>
      </c>
      <c r="H17" t="s">
        <v>21</v>
      </c>
      <c r="I17" t="s">
        <v>26</v>
      </c>
      <c r="J17" s="5">
        <v>45318</v>
      </c>
    </row>
    <row r="18" spans="1:10" x14ac:dyDescent="0.25">
      <c r="A18" t="s">
        <v>61</v>
      </c>
      <c r="B18" t="s">
        <v>62</v>
      </c>
      <c r="C18" t="str">
        <f>_xlfn.CONCAT(Students[[#This Row],[Student_Name]],"@gmail.com")</f>
        <v>Student_17@gmail.com</v>
      </c>
      <c r="D18" t="s">
        <v>11</v>
      </c>
      <c r="E18" s="5">
        <v>37339</v>
      </c>
      <c r="F18" t="s">
        <v>32</v>
      </c>
      <c r="G18" t="s">
        <v>13</v>
      </c>
      <c r="H18" t="s">
        <v>33</v>
      </c>
      <c r="I18" t="s">
        <v>22</v>
      </c>
      <c r="J18" s="5">
        <v>45372</v>
      </c>
    </row>
    <row r="19" spans="1:10" x14ac:dyDescent="0.25">
      <c r="A19" t="s">
        <v>63</v>
      </c>
      <c r="B19" t="s">
        <v>64</v>
      </c>
      <c r="C19" t="str">
        <f>_xlfn.CONCAT(Students[[#This Row],[Student_Name]],"@gmail.com")</f>
        <v>Student_18@gmail.com</v>
      </c>
      <c r="D19" t="s">
        <v>11</v>
      </c>
      <c r="E19" s="5">
        <v>37681</v>
      </c>
      <c r="F19" t="s">
        <v>25</v>
      </c>
      <c r="G19" t="s">
        <v>20</v>
      </c>
      <c r="H19" t="s">
        <v>21</v>
      </c>
      <c r="I19" t="s">
        <v>22</v>
      </c>
      <c r="J19" s="5">
        <v>45385</v>
      </c>
    </row>
    <row r="20" spans="1:10" x14ac:dyDescent="0.25">
      <c r="A20" t="s">
        <v>65</v>
      </c>
      <c r="B20" t="s">
        <v>66</v>
      </c>
      <c r="C20" t="str">
        <f>_xlfn.CONCAT(Students[[#This Row],[Student_Name]],"@gmail.com")</f>
        <v>Student_19@gmail.com</v>
      </c>
      <c r="D20" t="s">
        <v>11</v>
      </c>
      <c r="E20" s="5">
        <v>37591</v>
      </c>
      <c r="F20" t="s">
        <v>32</v>
      </c>
      <c r="G20" t="s">
        <v>67</v>
      </c>
      <c r="H20" t="s">
        <v>33</v>
      </c>
      <c r="I20" t="s">
        <v>26</v>
      </c>
      <c r="J20" s="5">
        <v>45381</v>
      </c>
    </row>
    <row r="21" spans="1:10" x14ac:dyDescent="0.25">
      <c r="A21" t="s">
        <v>68</v>
      </c>
      <c r="B21" t="s">
        <v>69</v>
      </c>
      <c r="C21" t="str">
        <f>_xlfn.CONCAT(Students[[#This Row],[Student_Name]],"@gmail.com")</f>
        <v>Student_20@gmail.com</v>
      </c>
      <c r="D21" t="s">
        <v>18</v>
      </c>
      <c r="E21" s="5">
        <v>36930</v>
      </c>
      <c r="F21" t="s">
        <v>19</v>
      </c>
      <c r="G21" t="s">
        <v>36</v>
      </c>
      <c r="H21" t="s">
        <v>14</v>
      </c>
      <c r="I21" t="s">
        <v>29</v>
      </c>
      <c r="J21" s="5">
        <v>45347</v>
      </c>
    </row>
    <row r="22" spans="1:10" x14ac:dyDescent="0.25">
      <c r="A22" t="s">
        <v>70</v>
      </c>
      <c r="B22" t="s">
        <v>71</v>
      </c>
      <c r="C22" t="str">
        <f>_xlfn.CONCAT(Students[[#This Row],[Student_Name]],"@gmail.com")</f>
        <v>Student_21@gmail.com</v>
      </c>
      <c r="D22" t="s">
        <v>11</v>
      </c>
      <c r="E22" s="5">
        <v>36614</v>
      </c>
      <c r="F22" t="s">
        <v>25</v>
      </c>
      <c r="G22" t="s">
        <v>13</v>
      </c>
      <c r="H22" t="s">
        <v>43</v>
      </c>
      <c r="I22" t="s">
        <v>26</v>
      </c>
      <c r="J22" s="5">
        <v>45340</v>
      </c>
    </row>
    <row r="23" spans="1:10" x14ac:dyDescent="0.25">
      <c r="A23" t="s">
        <v>72</v>
      </c>
      <c r="B23" t="s">
        <v>73</v>
      </c>
      <c r="C23" t="str">
        <f>_xlfn.CONCAT(Students[[#This Row],[Student_Name]],"@gmail.com")</f>
        <v>Student_22@gmail.com</v>
      </c>
      <c r="D23" t="s">
        <v>18</v>
      </c>
      <c r="E23" s="5">
        <v>36360</v>
      </c>
      <c r="F23" t="s">
        <v>19</v>
      </c>
      <c r="G23" t="s">
        <v>20</v>
      </c>
      <c r="H23" t="s">
        <v>14</v>
      </c>
      <c r="I23" t="s">
        <v>26</v>
      </c>
      <c r="J23" s="5">
        <v>45309</v>
      </c>
    </row>
    <row r="24" spans="1:10" x14ac:dyDescent="0.25">
      <c r="A24" t="s">
        <v>74</v>
      </c>
      <c r="B24" t="s">
        <v>75</v>
      </c>
      <c r="C24" t="str">
        <f>_xlfn.CONCAT(Students[[#This Row],[Student_Name]],"@gmail.com")</f>
        <v>Student_23@gmail.com</v>
      </c>
      <c r="D24" t="s">
        <v>18</v>
      </c>
      <c r="E24" s="5">
        <v>36297</v>
      </c>
      <c r="F24" t="s">
        <v>32</v>
      </c>
      <c r="G24" t="s">
        <v>13</v>
      </c>
      <c r="H24" t="s">
        <v>33</v>
      </c>
      <c r="I24" t="s">
        <v>37</v>
      </c>
      <c r="J24" s="5">
        <v>45329</v>
      </c>
    </row>
    <row r="25" spans="1:10" x14ac:dyDescent="0.25">
      <c r="A25" t="s">
        <v>76</v>
      </c>
      <c r="B25" t="s">
        <v>77</v>
      </c>
      <c r="C25" t="str">
        <f>_xlfn.CONCAT(Students[[#This Row],[Student_Name]],"@gmail.com")</f>
        <v>Student_24@gmail.com</v>
      </c>
      <c r="D25" t="s">
        <v>11</v>
      </c>
      <c r="E25" s="5">
        <v>37658</v>
      </c>
      <c r="F25" t="s">
        <v>54</v>
      </c>
      <c r="G25" t="s">
        <v>20</v>
      </c>
      <c r="H25" t="s">
        <v>21</v>
      </c>
      <c r="I25" t="s">
        <v>29</v>
      </c>
      <c r="J25" s="5">
        <v>45330</v>
      </c>
    </row>
    <row r="26" spans="1:10" x14ac:dyDescent="0.25">
      <c r="A26" t="s">
        <v>78</v>
      </c>
      <c r="B26" t="s">
        <v>79</v>
      </c>
      <c r="C26" t="str">
        <f>_xlfn.CONCAT(Students[[#This Row],[Student_Name]],"@gmail.com")</f>
        <v>Student_25@gmail.com</v>
      </c>
      <c r="D26" t="s">
        <v>18</v>
      </c>
      <c r="E26" s="5">
        <v>36375</v>
      </c>
      <c r="F26" t="s">
        <v>12</v>
      </c>
      <c r="G26" t="s">
        <v>36</v>
      </c>
      <c r="H26" t="s">
        <v>43</v>
      </c>
      <c r="I26" t="s">
        <v>29</v>
      </c>
      <c r="J26" s="5">
        <v>45326</v>
      </c>
    </row>
    <row r="27" spans="1:10" x14ac:dyDescent="0.25">
      <c r="A27" t="s">
        <v>80</v>
      </c>
      <c r="B27" t="s">
        <v>81</v>
      </c>
      <c r="C27" t="str">
        <f>_xlfn.CONCAT(Students[[#This Row],[Student_Name]],"@gmail.com")</f>
        <v>Student_26@gmail.com</v>
      </c>
      <c r="D27" t="s">
        <v>11</v>
      </c>
      <c r="E27" s="5">
        <v>38209</v>
      </c>
      <c r="F27" t="s">
        <v>40</v>
      </c>
      <c r="G27" t="s">
        <v>20</v>
      </c>
      <c r="H27" t="s">
        <v>43</v>
      </c>
      <c r="I27" t="s">
        <v>26</v>
      </c>
      <c r="J27" s="5">
        <v>45341</v>
      </c>
    </row>
    <row r="28" spans="1:10" x14ac:dyDescent="0.25">
      <c r="A28" t="s">
        <v>82</v>
      </c>
      <c r="B28" t="s">
        <v>83</v>
      </c>
      <c r="C28" t="str">
        <f>_xlfn.CONCAT(Students[[#This Row],[Student_Name]],"@gmail.com")</f>
        <v>Student_27@gmail.com</v>
      </c>
      <c r="D28" t="s">
        <v>18</v>
      </c>
      <c r="E28" s="5">
        <v>36310</v>
      </c>
      <c r="F28" t="s">
        <v>12</v>
      </c>
      <c r="G28" t="s">
        <v>67</v>
      </c>
      <c r="H28" t="s">
        <v>21</v>
      </c>
      <c r="I28" t="s">
        <v>37</v>
      </c>
      <c r="J28" s="5">
        <v>45305</v>
      </c>
    </row>
    <row r="29" spans="1:10" x14ac:dyDescent="0.25">
      <c r="A29" t="s">
        <v>84</v>
      </c>
      <c r="B29" t="s">
        <v>85</v>
      </c>
      <c r="C29" t="str">
        <f>_xlfn.CONCAT(Students[[#This Row],[Student_Name]],"@gmail.com")</f>
        <v>Student_28@gmail.com</v>
      </c>
      <c r="D29" t="s">
        <v>18</v>
      </c>
      <c r="E29" s="5">
        <v>38200</v>
      </c>
      <c r="F29" t="s">
        <v>12</v>
      </c>
      <c r="G29" t="s">
        <v>36</v>
      </c>
      <c r="H29" t="s">
        <v>21</v>
      </c>
      <c r="I29" t="s">
        <v>29</v>
      </c>
      <c r="J29" s="5">
        <v>45397</v>
      </c>
    </row>
    <row r="30" spans="1:10" x14ac:dyDescent="0.25">
      <c r="A30" t="s">
        <v>86</v>
      </c>
      <c r="B30" t="s">
        <v>87</v>
      </c>
      <c r="C30" t="str">
        <f>_xlfn.CONCAT(Students[[#This Row],[Student_Name]],"@gmail.com")</f>
        <v>Student_29@gmail.com</v>
      </c>
      <c r="D30" t="s">
        <v>11</v>
      </c>
      <c r="E30" s="5">
        <v>36543</v>
      </c>
      <c r="F30" t="s">
        <v>25</v>
      </c>
      <c r="G30" t="s">
        <v>13</v>
      </c>
      <c r="H30" t="s">
        <v>33</v>
      </c>
      <c r="I30" t="s">
        <v>22</v>
      </c>
      <c r="J30" s="5">
        <v>45343</v>
      </c>
    </row>
    <row r="31" spans="1:10" x14ac:dyDescent="0.25">
      <c r="A31" t="s">
        <v>88</v>
      </c>
      <c r="B31" t="s">
        <v>89</v>
      </c>
      <c r="C31" t="str">
        <f>_xlfn.CONCAT(Students[[#This Row],[Student_Name]],"@gmail.com")</f>
        <v>Student_30@gmail.com</v>
      </c>
      <c r="D31" t="s">
        <v>18</v>
      </c>
      <c r="E31" s="5">
        <v>37440</v>
      </c>
      <c r="F31" t="s">
        <v>19</v>
      </c>
      <c r="G31" t="s">
        <v>13</v>
      </c>
      <c r="H31" t="s">
        <v>14</v>
      </c>
      <c r="I31" t="s">
        <v>29</v>
      </c>
      <c r="J31" s="5">
        <v>45392</v>
      </c>
    </row>
    <row r="32" spans="1:10" x14ac:dyDescent="0.25">
      <c r="A32" t="s">
        <v>90</v>
      </c>
      <c r="B32" t="s">
        <v>91</v>
      </c>
      <c r="C32" t="str">
        <f>_xlfn.CONCAT(Students[[#This Row],[Student_Name]],"@gmail.com")</f>
        <v>Student_31@gmail.com</v>
      </c>
      <c r="D32" t="s">
        <v>11</v>
      </c>
      <c r="E32" s="5">
        <v>36297</v>
      </c>
      <c r="F32" t="s">
        <v>19</v>
      </c>
      <c r="G32" t="s">
        <v>20</v>
      </c>
      <c r="H32" t="s">
        <v>21</v>
      </c>
      <c r="I32" t="s">
        <v>37</v>
      </c>
      <c r="J32" s="5">
        <v>45369</v>
      </c>
    </row>
    <row r="33" spans="1:10" x14ac:dyDescent="0.25">
      <c r="A33" t="s">
        <v>92</v>
      </c>
      <c r="B33" t="s">
        <v>93</v>
      </c>
      <c r="C33" t="str">
        <f>_xlfn.CONCAT(Students[[#This Row],[Student_Name]],"@gmail.com")</f>
        <v>Student_32@gmail.com</v>
      </c>
      <c r="D33" t="s">
        <v>18</v>
      </c>
      <c r="E33" s="5">
        <v>36781</v>
      </c>
      <c r="F33" t="s">
        <v>19</v>
      </c>
      <c r="G33" t="s">
        <v>13</v>
      </c>
      <c r="H33" t="s">
        <v>14</v>
      </c>
      <c r="I33" t="s">
        <v>26</v>
      </c>
      <c r="J33" s="5">
        <v>45345</v>
      </c>
    </row>
    <row r="34" spans="1:10" x14ac:dyDescent="0.25">
      <c r="A34" t="s">
        <v>94</v>
      </c>
      <c r="B34" t="s">
        <v>95</v>
      </c>
      <c r="C34" t="str">
        <f>_xlfn.CONCAT(Students[[#This Row],[Student_Name]],"@gmail.com")</f>
        <v>Student_33@gmail.com</v>
      </c>
      <c r="D34" t="s">
        <v>11</v>
      </c>
      <c r="E34" s="5">
        <v>37830</v>
      </c>
      <c r="F34" t="s">
        <v>54</v>
      </c>
      <c r="G34" t="s">
        <v>67</v>
      </c>
      <c r="H34" t="s">
        <v>14</v>
      </c>
      <c r="I34" t="s">
        <v>37</v>
      </c>
      <c r="J34" s="5">
        <v>45317</v>
      </c>
    </row>
    <row r="35" spans="1:10" x14ac:dyDescent="0.25">
      <c r="A35" t="s">
        <v>96</v>
      </c>
      <c r="B35" t="s">
        <v>97</v>
      </c>
      <c r="C35" t="str">
        <f>_xlfn.CONCAT(Students[[#This Row],[Student_Name]],"@gmail.com")</f>
        <v>Student_34@gmail.com</v>
      </c>
      <c r="D35" t="s">
        <v>11</v>
      </c>
      <c r="E35" s="5">
        <v>37304</v>
      </c>
      <c r="F35" t="s">
        <v>25</v>
      </c>
      <c r="G35" t="s">
        <v>36</v>
      </c>
      <c r="H35" t="s">
        <v>14</v>
      </c>
      <c r="I35" t="s">
        <v>15</v>
      </c>
      <c r="J35" s="5">
        <v>45355</v>
      </c>
    </row>
    <row r="36" spans="1:10" x14ac:dyDescent="0.25">
      <c r="A36" t="s">
        <v>98</v>
      </c>
      <c r="B36" t="s">
        <v>99</v>
      </c>
      <c r="C36" t="str">
        <f>_xlfn.CONCAT(Students[[#This Row],[Student_Name]],"@gmail.com")</f>
        <v>Student_35@gmail.com</v>
      </c>
      <c r="D36" t="s">
        <v>11</v>
      </c>
      <c r="E36" s="5">
        <v>37083</v>
      </c>
      <c r="F36" t="s">
        <v>25</v>
      </c>
      <c r="G36" t="s">
        <v>67</v>
      </c>
      <c r="H36" t="s">
        <v>43</v>
      </c>
      <c r="I36" t="s">
        <v>22</v>
      </c>
      <c r="J36" s="5">
        <v>45342</v>
      </c>
    </row>
    <row r="37" spans="1:10" x14ac:dyDescent="0.25">
      <c r="A37" t="s">
        <v>100</v>
      </c>
      <c r="B37" t="s">
        <v>101</v>
      </c>
      <c r="C37" t="str">
        <f>_xlfn.CONCAT(Students[[#This Row],[Student_Name]],"@gmail.com")</f>
        <v>Student_36@gmail.com</v>
      </c>
      <c r="D37" t="s">
        <v>18</v>
      </c>
      <c r="E37" s="5">
        <v>37114</v>
      </c>
      <c r="F37" t="s">
        <v>32</v>
      </c>
      <c r="G37" t="s">
        <v>67</v>
      </c>
      <c r="H37" t="s">
        <v>43</v>
      </c>
      <c r="I37" t="s">
        <v>22</v>
      </c>
      <c r="J37" s="5">
        <v>45397</v>
      </c>
    </row>
    <row r="38" spans="1:10" x14ac:dyDescent="0.25">
      <c r="A38" t="s">
        <v>102</v>
      </c>
      <c r="B38" t="s">
        <v>103</v>
      </c>
      <c r="C38" t="str">
        <f>_xlfn.CONCAT(Students[[#This Row],[Student_Name]],"@gmail.com")</f>
        <v>Student_37@gmail.com</v>
      </c>
      <c r="D38" t="s">
        <v>11</v>
      </c>
      <c r="E38" s="5">
        <v>36934</v>
      </c>
      <c r="F38" t="s">
        <v>40</v>
      </c>
      <c r="G38" t="s">
        <v>67</v>
      </c>
      <c r="H38" t="s">
        <v>43</v>
      </c>
      <c r="I38" t="s">
        <v>26</v>
      </c>
      <c r="J38" s="5">
        <v>45360</v>
      </c>
    </row>
    <row r="39" spans="1:10" x14ac:dyDescent="0.25">
      <c r="A39" t="s">
        <v>104</v>
      </c>
      <c r="B39" t="s">
        <v>105</v>
      </c>
      <c r="C39" t="str">
        <f>_xlfn.CONCAT(Students[[#This Row],[Student_Name]],"@gmail.com")</f>
        <v>Student_38@gmail.com</v>
      </c>
      <c r="D39" t="s">
        <v>11</v>
      </c>
      <c r="E39" s="5">
        <v>38125</v>
      </c>
      <c r="F39" t="s">
        <v>12</v>
      </c>
      <c r="G39" t="s">
        <v>20</v>
      </c>
      <c r="H39" t="s">
        <v>33</v>
      </c>
      <c r="I39" t="s">
        <v>22</v>
      </c>
      <c r="J39" s="5">
        <v>45310</v>
      </c>
    </row>
    <row r="40" spans="1:10" x14ac:dyDescent="0.25">
      <c r="A40" t="s">
        <v>106</v>
      </c>
      <c r="B40" t="s">
        <v>107</v>
      </c>
      <c r="C40" t="str">
        <f>_xlfn.CONCAT(Students[[#This Row],[Student_Name]],"@gmail.com")</f>
        <v>Student_39@gmail.com</v>
      </c>
      <c r="D40" t="s">
        <v>18</v>
      </c>
      <c r="E40" s="5">
        <v>38035</v>
      </c>
      <c r="F40" t="s">
        <v>19</v>
      </c>
      <c r="G40" t="s">
        <v>67</v>
      </c>
      <c r="H40" t="s">
        <v>14</v>
      </c>
      <c r="I40" t="s">
        <v>37</v>
      </c>
      <c r="J40" s="5">
        <v>45394</v>
      </c>
    </row>
    <row r="41" spans="1:10" x14ac:dyDescent="0.25">
      <c r="A41" t="s">
        <v>108</v>
      </c>
      <c r="B41" t="s">
        <v>109</v>
      </c>
      <c r="C41" t="str">
        <f>_xlfn.CONCAT(Students[[#This Row],[Student_Name]],"@gmail.com")</f>
        <v>Student_40@gmail.com</v>
      </c>
      <c r="D41" t="s">
        <v>11</v>
      </c>
      <c r="E41" s="5">
        <v>37813</v>
      </c>
      <c r="F41" t="s">
        <v>40</v>
      </c>
      <c r="G41" t="s">
        <v>36</v>
      </c>
      <c r="H41" t="s">
        <v>14</v>
      </c>
      <c r="I41" t="s">
        <v>37</v>
      </c>
      <c r="J41" s="5">
        <v>45331</v>
      </c>
    </row>
    <row r="42" spans="1:10" x14ac:dyDescent="0.25">
      <c r="A42" t="s">
        <v>110</v>
      </c>
      <c r="B42" t="s">
        <v>111</v>
      </c>
      <c r="C42" t="str">
        <f>_xlfn.CONCAT(Students[[#This Row],[Student_Name]],"@gmail.com")</f>
        <v>Student_41@gmail.com</v>
      </c>
      <c r="D42" t="s">
        <v>11</v>
      </c>
      <c r="E42" s="5">
        <v>36658</v>
      </c>
      <c r="F42" t="s">
        <v>32</v>
      </c>
      <c r="G42" t="s">
        <v>67</v>
      </c>
      <c r="H42" t="s">
        <v>21</v>
      </c>
      <c r="I42" t="s">
        <v>22</v>
      </c>
      <c r="J42" s="5">
        <v>45351</v>
      </c>
    </row>
    <row r="43" spans="1:10" x14ac:dyDescent="0.25">
      <c r="A43" t="s">
        <v>112</v>
      </c>
      <c r="B43" t="s">
        <v>113</v>
      </c>
      <c r="C43" t="str">
        <f>_xlfn.CONCAT(Students[[#This Row],[Student_Name]],"@gmail.com")</f>
        <v>Student_42@gmail.com</v>
      </c>
      <c r="D43" t="s">
        <v>11</v>
      </c>
      <c r="E43" s="5">
        <v>36326</v>
      </c>
      <c r="F43" t="s">
        <v>54</v>
      </c>
      <c r="G43" t="s">
        <v>67</v>
      </c>
      <c r="H43" t="s">
        <v>43</v>
      </c>
      <c r="I43" t="s">
        <v>37</v>
      </c>
      <c r="J43" s="5">
        <v>45331</v>
      </c>
    </row>
    <row r="44" spans="1:10" x14ac:dyDescent="0.25">
      <c r="A44" t="s">
        <v>114</v>
      </c>
      <c r="B44" t="s">
        <v>115</v>
      </c>
      <c r="C44" t="str">
        <f>_xlfn.CONCAT(Students[[#This Row],[Student_Name]],"@gmail.com")</f>
        <v>Student_43@gmail.com</v>
      </c>
      <c r="D44" t="s">
        <v>18</v>
      </c>
      <c r="E44" s="5">
        <v>36439</v>
      </c>
      <c r="F44" t="s">
        <v>40</v>
      </c>
      <c r="G44" t="s">
        <v>20</v>
      </c>
      <c r="H44" t="s">
        <v>21</v>
      </c>
      <c r="I44" t="s">
        <v>37</v>
      </c>
      <c r="J44" s="5">
        <v>45343</v>
      </c>
    </row>
    <row r="45" spans="1:10" x14ac:dyDescent="0.25">
      <c r="A45" t="s">
        <v>116</v>
      </c>
      <c r="B45" t="s">
        <v>117</v>
      </c>
      <c r="C45" t="str">
        <f>_xlfn.CONCAT(Students[[#This Row],[Student_Name]],"@gmail.com")</f>
        <v>Student_44@gmail.com</v>
      </c>
      <c r="D45" t="s">
        <v>11</v>
      </c>
      <c r="E45" s="5">
        <v>37534</v>
      </c>
      <c r="F45" t="s">
        <v>12</v>
      </c>
      <c r="G45" t="s">
        <v>20</v>
      </c>
      <c r="H45" t="s">
        <v>33</v>
      </c>
      <c r="I45" t="s">
        <v>37</v>
      </c>
      <c r="J45" s="5">
        <v>45372</v>
      </c>
    </row>
    <row r="46" spans="1:10" x14ac:dyDescent="0.25">
      <c r="A46" t="s">
        <v>118</v>
      </c>
      <c r="B46" t="s">
        <v>119</v>
      </c>
      <c r="C46" t="str">
        <f>_xlfn.CONCAT(Students[[#This Row],[Student_Name]],"@gmail.com")</f>
        <v>Student_45@gmail.com</v>
      </c>
      <c r="D46" t="s">
        <v>18</v>
      </c>
      <c r="E46" s="5">
        <v>37719</v>
      </c>
      <c r="F46" t="s">
        <v>54</v>
      </c>
      <c r="G46" t="s">
        <v>36</v>
      </c>
      <c r="H46" t="s">
        <v>14</v>
      </c>
      <c r="I46" t="s">
        <v>22</v>
      </c>
      <c r="J46" s="5">
        <v>45353</v>
      </c>
    </row>
    <row r="47" spans="1:10" x14ac:dyDescent="0.25">
      <c r="A47" t="s">
        <v>120</v>
      </c>
      <c r="B47" t="s">
        <v>121</v>
      </c>
      <c r="C47" t="str">
        <f>_xlfn.CONCAT(Students[[#This Row],[Student_Name]],"@gmail.com")</f>
        <v>Student_46@gmail.com</v>
      </c>
      <c r="D47" t="s">
        <v>18</v>
      </c>
      <c r="E47" s="5">
        <v>37113</v>
      </c>
      <c r="F47" t="s">
        <v>54</v>
      </c>
      <c r="G47" t="s">
        <v>67</v>
      </c>
      <c r="H47" t="s">
        <v>33</v>
      </c>
      <c r="I47" t="s">
        <v>15</v>
      </c>
      <c r="J47" s="5">
        <v>45405</v>
      </c>
    </row>
    <row r="48" spans="1:10" x14ac:dyDescent="0.25">
      <c r="A48" t="s">
        <v>122</v>
      </c>
      <c r="B48" t="s">
        <v>123</v>
      </c>
      <c r="C48" t="str">
        <f>_xlfn.CONCAT(Students[[#This Row],[Student_Name]],"@gmail.com")</f>
        <v>Student_47@gmail.com</v>
      </c>
      <c r="D48" t="s">
        <v>18</v>
      </c>
      <c r="E48" s="5">
        <v>37105</v>
      </c>
      <c r="F48" t="s">
        <v>32</v>
      </c>
      <c r="G48" t="s">
        <v>13</v>
      </c>
      <c r="H48" t="s">
        <v>21</v>
      </c>
      <c r="I48" t="s">
        <v>15</v>
      </c>
      <c r="J48" s="5">
        <v>45380</v>
      </c>
    </row>
    <row r="49" spans="1:10" x14ac:dyDescent="0.25">
      <c r="A49" t="s">
        <v>124</v>
      </c>
      <c r="B49" t="s">
        <v>125</v>
      </c>
      <c r="C49" t="str">
        <f>_xlfn.CONCAT(Students[[#This Row],[Student_Name]],"@gmail.com")</f>
        <v>Student_48@gmail.com</v>
      </c>
      <c r="D49" t="s">
        <v>11</v>
      </c>
      <c r="E49" s="5">
        <v>37935</v>
      </c>
      <c r="F49" t="s">
        <v>19</v>
      </c>
      <c r="G49" t="s">
        <v>67</v>
      </c>
      <c r="H49" t="s">
        <v>43</v>
      </c>
      <c r="I49" t="s">
        <v>29</v>
      </c>
      <c r="J49" s="5">
        <v>45362</v>
      </c>
    </row>
    <row r="50" spans="1:10" x14ac:dyDescent="0.25">
      <c r="A50" t="s">
        <v>126</v>
      </c>
      <c r="B50" t="s">
        <v>127</v>
      </c>
      <c r="C50" t="str">
        <f>_xlfn.CONCAT(Students[[#This Row],[Student_Name]],"@gmail.com")</f>
        <v>Student_49@gmail.com</v>
      </c>
      <c r="D50" t="s">
        <v>11</v>
      </c>
      <c r="E50" s="5">
        <v>37764</v>
      </c>
      <c r="F50" t="s">
        <v>32</v>
      </c>
      <c r="G50" t="s">
        <v>20</v>
      </c>
      <c r="H50" t="s">
        <v>33</v>
      </c>
      <c r="I50" t="s">
        <v>15</v>
      </c>
      <c r="J50" s="5">
        <v>45306</v>
      </c>
    </row>
    <row r="51" spans="1:10" x14ac:dyDescent="0.25">
      <c r="A51" t="s">
        <v>128</v>
      </c>
      <c r="B51" t="s">
        <v>129</v>
      </c>
      <c r="C51" t="str">
        <f>_xlfn.CONCAT(Students[[#This Row],[Student_Name]],"@gmail.com")</f>
        <v>Student_50@gmail.com</v>
      </c>
      <c r="D51" t="s">
        <v>18</v>
      </c>
      <c r="E51" s="5">
        <v>37390</v>
      </c>
      <c r="F51" t="s">
        <v>25</v>
      </c>
      <c r="G51" t="s">
        <v>36</v>
      </c>
      <c r="H51" t="s">
        <v>33</v>
      </c>
      <c r="I51" t="s">
        <v>15</v>
      </c>
      <c r="J51" s="5">
        <v>45352</v>
      </c>
    </row>
    <row r="52" spans="1:10" x14ac:dyDescent="0.25">
      <c r="A52" t="s">
        <v>130</v>
      </c>
      <c r="B52" t="s">
        <v>131</v>
      </c>
      <c r="C52" t="str">
        <f>_xlfn.CONCAT(Students[[#This Row],[Student_Name]],"@gmail.com")</f>
        <v>Student_51@gmail.com</v>
      </c>
      <c r="D52" t="s">
        <v>11</v>
      </c>
      <c r="E52" s="5">
        <v>37876</v>
      </c>
      <c r="F52" t="s">
        <v>19</v>
      </c>
      <c r="G52" t="s">
        <v>20</v>
      </c>
      <c r="H52" t="s">
        <v>43</v>
      </c>
      <c r="I52" t="s">
        <v>37</v>
      </c>
      <c r="J52" s="5">
        <v>45388</v>
      </c>
    </row>
    <row r="53" spans="1:10" x14ac:dyDescent="0.25">
      <c r="A53" t="s">
        <v>132</v>
      </c>
      <c r="B53" t="s">
        <v>133</v>
      </c>
      <c r="C53" t="str">
        <f>_xlfn.CONCAT(Students[[#This Row],[Student_Name]],"@gmail.com")</f>
        <v>Student_52@gmail.com</v>
      </c>
      <c r="D53" t="s">
        <v>11</v>
      </c>
      <c r="E53" s="5">
        <v>37550</v>
      </c>
      <c r="F53" t="s">
        <v>19</v>
      </c>
      <c r="G53" t="s">
        <v>20</v>
      </c>
      <c r="H53" t="s">
        <v>21</v>
      </c>
      <c r="I53" t="s">
        <v>29</v>
      </c>
      <c r="J53" s="5">
        <v>45381</v>
      </c>
    </row>
    <row r="54" spans="1:10" x14ac:dyDescent="0.25">
      <c r="A54" t="s">
        <v>134</v>
      </c>
      <c r="B54" t="s">
        <v>135</v>
      </c>
      <c r="C54" t="str">
        <f>_xlfn.CONCAT(Students[[#This Row],[Student_Name]],"@gmail.com")</f>
        <v>Student_53@gmail.com</v>
      </c>
      <c r="D54" t="s">
        <v>11</v>
      </c>
      <c r="E54" s="5">
        <v>37194</v>
      </c>
      <c r="F54" t="s">
        <v>40</v>
      </c>
      <c r="G54" t="s">
        <v>36</v>
      </c>
      <c r="H54" t="s">
        <v>33</v>
      </c>
      <c r="I54" t="s">
        <v>15</v>
      </c>
      <c r="J54" s="5">
        <v>45293</v>
      </c>
    </row>
    <row r="55" spans="1:10" x14ac:dyDescent="0.25">
      <c r="A55" t="s">
        <v>136</v>
      </c>
      <c r="B55" t="s">
        <v>137</v>
      </c>
      <c r="C55" t="str">
        <f>_xlfn.CONCAT(Students[[#This Row],[Student_Name]],"@gmail.com")</f>
        <v>Student_54@gmail.com</v>
      </c>
      <c r="D55" t="s">
        <v>18</v>
      </c>
      <c r="E55" s="5">
        <v>37486</v>
      </c>
      <c r="F55" t="s">
        <v>19</v>
      </c>
      <c r="G55" t="s">
        <v>20</v>
      </c>
      <c r="H55" t="s">
        <v>14</v>
      </c>
      <c r="I55" t="s">
        <v>15</v>
      </c>
      <c r="J55" s="5">
        <v>45336</v>
      </c>
    </row>
    <row r="56" spans="1:10" x14ac:dyDescent="0.25">
      <c r="A56" t="s">
        <v>138</v>
      </c>
      <c r="B56" t="s">
        <v>139</v>
      </c>
      <c r="C56" t="str">
        <f>_xlfn.CONCAT(Students[[#This Row],[Student_Name]],"@gmail.com")</f>
        <v>Student_55@gmail.com</v>
      </c>
      <c r="D56" t="s">
        <v>18</v>
      </c>
      <c r="E56" s="5">
        <v>36852</v>
      </c>
      <c r="F56" t="s">
        <v>32</v>
      </c>
      <c r="G56" t="s">
        <v>13</v>
      </c>
      <c r="H56" t="s">
        <v>33</v>
      </c>
      <c r="I56" t="s">
        <v>26</v>
      </c>
      <c r="J56" s="5">
        <v>45370</v>
      </c>
    </row>
    <row r="57" spans="1:10" x14ac:dyDescent="0.25">
      <c r="A57" t="s">
        <v>140</v>
      </c>
      <c r="B57" t="s">
        <v>141</v>
      </c>
      <c r="C57" t="str">
        <f>_xlfn.CONCAT(Students[[#This Row],[Student_Name]],"@gmail.com")</f>
        <v>Student_56@gmail.com</v>
      </c>
      <c r="D57" t="s">
        <v>18</v>
      </c>
      <c r="E57" s="5">
        <v>38176</v>
      </c>
      <c r="F57" t="s">
        <v>19</v>
      </c>
      <c r="G57" t="s">
        <v>36</v>
      </c>
      <c r="H57" t="s">
        <v>14</v>
      </c>
      <c r="I57" t="s">
        <v>26</v>
      </c>
      <c r="J57" s="5">
        <v>45376</v>
      </c>
    </row>
    <row r="58" spans="1:10" x14ac:dyDescent="0.25">
      <c r="A58" t="s">
        <v>142</v>
      </c>
      <c r="B58" t="s">
        <v>143</v>
      </c>
      <c r="C58" t="str">
        <f>_xlfn.CONCAT(Students[[#This Row],[Student_Name]],"@gmail.com")</f>
        <v>Student_57@gmail.com</v>
      </c>
      <c r="D58" t="s">
        <v>11</v>
      </c>
      <c r="E58" s="5">
        <v>37346</v>
      </c>
      <c r="F58" t="s">
        <v>19</v>
      </c>
      <c r="G58" t="s">
        <v>13</v>
      </c>
      <c r="H58" t="s">
        <v>33</v>
      </c>
      <c r="I58" t="s">
        <v>26</v>
      </c>
      <c r="J58" s="5">
        <v>45354</v>
      </c>
    </row>
    <row r="59" spans="1:10" x14ac:dyDescent="0.25">
      <c r="A59" t="s">
        <v>144</v>
      </c>
      <c r="B59" t="s">
        <v>145</v>
      </c>
      <c r="C59" t="str">
        <f>_xlfn.CONCAT(Students[[#This Row],[Student_Name]],"@gmail.com")</f>
        <v>Student_58@gmail.com</v>
      </c>
      <c r="D59" t="s">
        <v>18</v>
      </c>
      <c r="E59" s="5">
        <v>36778</v>
      </c>
      <c r="F59" t="s">
        <v>12</v>
      </c>
      <c r="G59" t="s">
        <v>13</v>
      </c>
      <c r="H59" t="s">
        <v>21</v>
      </c>
      <c r="I59" t="s">
        <v>22</v>
      </c>
      <c r="J59" s="5">
        <v>45410</v>
      </c>
    </row>
    <row r="60" spans="1:10" x14ac:dyDescent="0.25">
      <c r="A60" t="s">
        <v>146</v>
      </c>
      <c r="B60" t="s">
        <v>147</v>
      </c>
      <c r="C60" t="str">
        <f>_xlfn.CONCAT(Students[[#This Row],[Student_Name]],"@gmail.com")</f>
        <v>Student_59@gmail.com</v>
      </c>
      <c r="D60" t="s">
        <v>18</v>
      </c>
      <c r="E60" s="5">
        <v>36791</v>
      </c>
      <c r="F60" t="s">
        <v>40</v>
      </c>
      <c r="G60" t="s">
        <v>13</v>
      </c>
      <c r="H60" t="s">
        <v>14</v>
      </c>
      <c r="I60" t="s">
        <v>26</v>
      </c>
      <c r="J60" s="5">
        <v>45330</v>
      </c>
    </row>
    <row r="61" spans="1:10" x14ac:dyDescent="0.25">
      <c r="A61" t="s">
        <v>148</v>
      </c>
      <c r="B61" t="s">
        <v>149</v>
      </c>
      <c r="C61" t="str">
        <f>_xlfn.CONCAT(Students[[#This Row],[Student_Name]],"@gmail.com")</f>
        <v>Student_60@gmail.com</v>
      </c>
      <c r="D61" t="s">
        <v>11</v>
      </c>
      <c r="E61" s="5">
        <v>36409</v>
      </c>
      <c r="F61" t="s">
        <v>40</v>
      </c>
      <c r="G61" t="s">
        <v>36</v>
      </c>
      <c r="H61" t="s">
        <v>21</v>
      </c>
      <c r="I61" t="s">
        <v>15</v>
      </c>
      <c r="J61" s="5">
        <v>45316</v>
      </c>
    </row>
    <row r="62" spans="1:10" x14ac:dyDescent="0.25">
      <c r="A62" t="s">
        <v>150</v>
      </c>
      <c r="B62" t="s">
        <v>151</v>
      </c>
      <c r="C62" t="str">
        <f>_xlfn.CONCAT(Students[[#This Row],[Student_Name]],"@gmail.com")</f>
        <v>Student_61@gmail.com</v>
      </c>
      <c r="D62" t="s">
        <v>18</v>
      </c>
      <c r="E62" s="5">
        <v>37193</v>
      </c>
      <c r="F62" t="s">
        <v>54</v>
      </c>
      <c r="G62" t="s">
        <v>36</v>
      </c>
      <c r="H62" t="s">
        <v>43</v>
      </c>
      <c r="I62" t="s">
        <v>22</v>
      </c>
      <c r="J62" s="5">
        <v>45402</v>
      </c>
    </row>
    <row r="63" spans="1:10" x14ac:dyDescent="0.25">
      <c r="A63" t="s">
        <v>152</v>
      </c>
      <c r="B63" t="s">
        <v>153</v>
      </c>
      <c r="C63" t="str">
        <f>_xlfn.CONCAT(Students[[#This Row],[Student_Name]],"@gmail.com")</f>
        <v>Student_62@gmail.com</v>
      </c>
      <c r="D63" t="s">
        <v>18</v>
      </c>
      <c r="E63" s="5">
        <v>38191</v>
      </c>
      <c r="F63" t="s">
        <v>12</v>
      </c>
      <c r="G63" t="s">
        <v>36</v>
      </c>
      <c r="H63" t="s">
        <v>21</v>
      </c>
      <c r="I63" t="s">
        <v>22</v>
      </c>
      <c r="J63" s="5">
        <v>45401</v>
      </c>
    </row>
    <row r="64" spans="1:10" x14ac:dyDescent="0.25">
      <c r="A64" t="s">
        <v>154</v>
      </c>
      <c r="B64" t="s">
        <v>155</v>
      </c>
      <c r="C64" t="str">
        <f>_xlfn.CONCAT(Students[[#This Row],[Student_Name]],"@gmail.com")</f>
        <v>Student_63@gmail.com</v>
      </c>
      <c r="D64" t="s">
        <v>18</v>
      </c>
      <c r="E64" s="5">
        <v>36889</v>
      </c>
      <c r="F64" t="s">
        <v>12</v>
      </c>
      <c r="G64" t="s">
        <v>67</v>
      </c>
      <c r="H64" t="s">
        <v>33</v>
      </c>
      <c r="I64" t="s">
        <v>15</v>
      </c>
      <c r="J64" s="5">
        <v>45371</v>
      </c>
    </row>
    <row r="65" spans="1:10" x14ac:dyDescent="0.25">
      <c r="A65" t="s">
        <v>156</v>
      </c>
      <c r="B65" t="s">
        <v>157</v>
      </c>
      <c r="C65" t="str">
        <f>_xlfn.CONCAT(Students[[#This Row],[Student_Name]],"@gmail.com")</f>
        <v>Student_64@gmail.com</v>
      </c>
      <c r="D65" t="s">
        <v>11</v>
      </c>
      <c r="E65" s="5">
        <v>37967</v>
      </c>
      <c r="F65" t="s">
        <v>54</v>
      </c>
      <c r="G65" t="s">
        <v>13</v>
      </c>
      <c r="H65" t="s">
        <v>33</v>
      </c>
      <c r="I65" t="s">
        <v>26</v>
      </c>
      <c r="J65" s="5">
        <v>45384</v>
      </c>
    </row>
    <row r="66" spans="1:10" x14ac:dyDescent="0.25">
      <c r="A66" t="s">
        <v>158</v>
      </c>
      <c r="B66" t="s">
        <v>159</v>
      </c>
      <c r="C66" t="str">
        <f>_xlfn.CONCAT(Students[[#This Row],[Student_Name]],"@gmail.com")</f>
        <v>Student_65@gmail.com</v>
      </c>
      <c r="D66" t="s">
        <v>11</v>
      </c>
      <c r="E66" s="5">
        <v>37655</v>
      </c>
      <c r="F66" t="s">
        <v>32</v>
      </c>
      <c r="G66" t="s">
        <v>13</v>
      </c>
      <c r="H66" t="s">
        <v>14</v>
      </c>
      <c r="I66" t="s">
        <v>26</v>
      </c>
      <c r="J66" s="5">
        <v>45310</v>
      </c>
    </row>
    <row r="67" spans="1:10" x14ac:dyDescent="0.25">
      <c r="A67" t="s">
        <v>160</v>
      </c>
      <c r="B67" t="s">
        <v>161</v>
      </c>
      <c r="C67" t="str">
        <f>_xlfn.CONCAT(Students[[#This Row],[Student_Name]],"@gmail.com")</f>
        <v>Student_66@gmail.com</v>
      </c>
      <c r="D67" t="s">
        <v>11</v>
      </c>
      <c r="E67" s="5">
        <v>36546</v>
      </c>
      <c r="F67" t="s">
        <v>25</v>
      </c>
      <c r="G67" t="s">
        <v>13</v>
      </c>
      <c r="H67" t="s">
        <v>21</v>
      </c>
      <c r="I67" t="s">
        <v>22</v>
      </c>
      <c r="J67" s="5">
        <v>45313</v>
      </c>
    </row>
    <row r="68" spans="1:10" x14ac:dyDescent="0.25">
      <c r="A68" t="s">
        <v>162</v>
      </c>
      <c r="B68" t="s">
        <v>163</v>
      </c>
      <c r="C68" t="str">
        <f>_xlfn.CONCAT(Students[[#This Row],[Student_Name]],"@gmail.com")</f>
        <v>Student_67@gmail.com</v>
      </c>
      <c r="D68" t="s">
        <v>11</v>
      </c>
      <c r="E68" s="5">
        <v>38222</v>
      </c>
      <c r="F68" t="s">
        <v>40</v>
      </c>
      <c r="G68" t="s">
        <v>20</v>
      </c>
      <c r="H68" t="s">
        <v>33</v>
      </c>
      <c r="I68" t="s">
        <v>29</v>
      </c>
      <c r="J68" s="5">
        <v>45326</v>
      </c>
    </row>
    <row r="69" spans="1:10" x14ac:dyDescent="0.25">
      <c r="A69" t="s">
        <v>164</v>
      </c>
      <c r="B69" t="s">
        <v>165</v>
      </c>
      <c r="C69" t="str">
        <f>_xlfn.CONCAT(Students[[#This Row],[Student_Name]],"@gmail.com")</f>
        <v>Student_68@gmail.com</v>
      </c>
      <c r="D69" t="s">
        <v>11</v>
      </c>
      <c r="E69" s="5">
        <v>38086</v>
      </c>
      <c r="F69" t="s">
        <v>54</v>
      </c>
      <c r="G69" t="s">
        <v>13</v>
      </c>
      <c r="H69" t="s">
        <v>21</v>
      </c>
      <c r="I69" t="s">
        <v>37</v>
      </c>
      <c r="J69" s="5">
        <v>45307</v>
      </c>
    </row>
    <row r="70" spans="1:10" x14ac:dyDescent="0.25">
      <c r="A70" t="s">
        <v>166</v>
      </c>
      <c r="B70" t="s">
        <v>167</v>
      </c>
      <c r="C70" t="str">
        <f>_xlfn.CONCAT(Students[[#This Row],[Student_Name]],"@gmail.com")</f>
        <v>Student_69@gmail.com</v>
      </c>
      <c r="D70" t="s">
        <v>18</v>
      </c>
      <c r="E70" s="5">
        <v>38087</v>
      </c>
      <c r="F70" t="s">
        <v>25</v>
      </c>
      <c r="G70" t="s">
        <v>13</v>
      </c>
      <c r="H70" t="s">
        <v>33</v>
      </c>
      <c r="I70" t="s">
        <v>37</v>
      </c>
      <c r="J70" s="5">
        <v>45405</v>
      </c>
    </row>
    <row r="71" spans="1:10" x14ac:dyDescent="0.25">
      <c r="A71" t="s">
        <v>168</v>
      </c>
      <c r="B71" t="s">
        <v>169</v>
      </c>
      <c r="C71" t="str">
        <f>_xlfn.CONCAT(Students[[#This Row],[Student_Name]],"@gmail.com")</f>
        <v>Student_70@gmail.com</v>
      </c>
      <c r="D71" t="s">
        <v>18</v>
      </c>
      <c r="E71" s="5">
        <v>37852</v>
      </c>
      <c r="F71" t="s">
        <v>19</v>
      </c>
      <c r="G71" t="s">
        <v>67</v>
      </c>
      <c r="H71" t="s">
        <v>33</v>
      </c>
      <c r="I71" t="s">
        <v>37</v>
      </c>
      <c r="J71" s="5">
        <v>45334</v>
      </c>
    </row>
    <row r="72" spans="1:10" x14ac:dyDescent="0.25">
      <c r="A72" t="s">
        <v>170</v>
      </c>
      <c r="B72" t="s">
        <v>171</v>
      </c>
      <c r="C72" t="str">
        <f>_xlfn.CONCAT(Students[[#This Row],[Student_Name]],"@gmail.com")</f>
        <v>Student_71@gmail.com</v>
      </c>
      <c r="D72" t="s">
        <v>18</v>
      </c>
      <c r="E72" s="5">
        <v>37011</v>
      </c>
      <c r="F72" t="s">
        <v>12</v>
      </c>
      <c r="G72" t="s">
        <v>67</v>
      </c>
      <c r="H72" t="s">
        <v>21</v>
      </c>
      <c r="I72" t="s">
        <v>26</v>
      </c>
      <c r="J72" s="5">
        <v>45384</v>
      </c>
    </row>
    <row r="73" spans="1:10" x14ac:dyDescent="0.25">
      <c r="A73" t="s">
        <v>172</v>
      </c>
      <c r="B73" t="s">
        <v>173</v>
      </c>
      <c r="C73" t="str">
        <f>_xlfn.CONCAT(Students[[#This Row],[Student_Name]],"@gmail.com")</f>
        <v>Student_72@gmail.com</v>
      </c>
      <c r="D73" t="s">
        <v>18</v>
      </c>
      <c r="E73" s="5">
        <v>37954</v>
      </c>
      <c r="F73" t="s">
        <v>12</v>
      </c>
      <c r="G73" t="s">
        <v>36</v>
      </c>
      <c r="H73" t="s">
        <v>14</v>
      </c>
      <c r="I73" t="s">
        <v>37</v>
      </c>
      <c r="J73" s="5">
        <v>45325</v>
      </c>
    </row>
    <row r="74" spans="1:10" x14ac:dyDescent="0.25">
      <c r="A74" t="s">
        <v>174</v>
      </c>
      <c r="B74" t="s">
        <v>175</v>
      </c>
      <c r="C74" t="str">
        <f>_xlfn.CONCAT(Students[[#This Row],[Student_Name]],"@gmail.com")</f>
        <v>Student_73@gmail.com</v>
      </c>
      <c r="D74" t="s">
        <v>18</v>
      </c>
      <c r="E74" s="5">
        <v>38101</v>
      </c>
      <c r="F74" t="s">
        <v>40</v>
      </c>
      <c r="G74" t="s">
        <v>20</v>
      </c>
      <c r="H74" t="s">
        <v>14</v>
      </c>
      <c r="I74" t="s">
        <v>15</v>
      </c>
      <c r="J74" s="5">
        <v>45374</v>
      </c>
    </row>
    <row r="75" spans="1:10" x14ac:dyDescent="0.25">
      <c r="A75" t="s">
        <v>176</v>
      </c>
      <c r="B75" t="s">
        <v>177</v>
      </c>
      <c r="C75" t="str">
        <f>_xlfn.CONCAT(Students[[#This Row],[Student_Name]],"@gmail.com")</f>
        <v>Student_74@gmail.com</v>
      </c>
      <c r="D75" t="s">
        <v>11</v>
      </c>
      <c r="E75" s="5">
        <v>36804</v>
      </c>
      <c r="F75" t="s">
        <v>32</v>
      </c>
      <c r="G75" t="s">
        <v>20</v>
      </c>
      <c r="H75" t="s">
        <v>14</v>
      </c>
      <c r="I75" t="s">
        <v>26</v>
      </c>
      <c r="J75" s="5">
        <v>45364</v>
      </c>
    </row>
    <row r="76" spans="1:10" x14ac:dyDescent="0.25">
      <c r="A76" t="s">
        <v>178</v>
      </c>
      <c r="B76" t="s">
        <v>179</v>
      </c>
      <c r="C76" t="str">
        <f>_xlfn.CONCAT(Students[[#This Row],[Student_Name]],"@gmail.com")</f>
        <v>Student_75@gmail.com</v>
      </c>
      <c r="D76" t="s">
        <v>18</v>
      </c>
      <c r="E76" s="5">
        <v>37239</v>
      </c>
      <c r="F76" t="s">
        <v>12</v>
      </c>
      <c r="G76" t="s">
        <v>36</v>
      </c>
      <c r="H76" t="s">
        <v>21</v>
      </c>
      <c r="I76" t="s">
        <v>37</v>
      </c>
      <c r="J76" s="5">
        <v>45293</v>
      </c>
    </row>
    <row r="77" spans="1:10" x14ac:dyDescent="0.25">
      <c r="A77" t="s">
        <v>180</v>
      </c>
      <c r="B77" t="s">
        <v>181</v>
      </c>
      <c r="C77" t="str">
        <f>_xlfn.CONCAT(Students[[#This Row],[Student_Name]],"@gmail.com")</f>
        <v>Student_76@gmail.com</v>
      </c>
      <c r="D77" t="s">
        <v>18</v>
      </c>
      <c r="E77" s="5">
        <v>36995</v>
      </c>
      <c r="F77" t="s">
        <v>19</v>
      </c>
      <c r="G77" t="s">
        <v>67</v>
      </c>
      <c r="H77" t="s">
        <v>14</v>
      </c>
      <c r="I77" t="s">
        <v>37</v>
      </c>
      <c r="J77" s="5">
        <v>45317</v>
      </c>
    </row>
    <row r="78" spans="1:10" x14ac:dyDescent="0.25">
      <c r="A78" t="s">
        <v>182</v>
      </c>
      <c r="B78" t="s">
        <v>183</v>
      </c>
      <c r="C78" t="str">
        <f>_xlfn.CONCAT(Students[[#This Row],[Student_Name]],"@gmail.com")</f>
        <v>Student_77@gmail.com</v>
      </c>
      <c r="D78" t="s">
        <v>18</v>
      </c>
      <c r="E78" s="5">
        <v>37011</v>
      </c>
      <c r="F78" t="s">
        <v>54</v>
      </c>
      <c r="G78" t="s">
        <v>67</v>
      </c>
      <c r="H78" t="s">
        <v>14</v>
      </c>
      <c r="I78" t="s">
        <v>37</v>
      </c>
      <c r="J78" s="5">
        <v>45301</v>
      </c>
    </row>
    <row r="79" spans="1:10" x14ac:dyDescent="0.25">
      <c r="A79" t="s">
        <v>184</v>
      </c>
      <c r="B79" t="s">
        <v>185</v>
      </c>
      <c r="C79" t="str">
        <f>_xlfn.CONCAT(Students[[#This Row],[Student_Name]],"@gmail.com")</f>
        <v>Student_78@gmail.com</v>
      </c>
      <c r="D79" t="s">
        <v>18</v>
      </c>
      <c r="E79" s="5">
        <v>37168</v>
      </c>
      <c r="F79" t="s">
        <v>25</v>
      </c>
      <c r="G79" t="s">
        <v>36</v>
      </c>
      <c r="H79" t="s">
        <v>33</v>
      </c>
      <c r="I79" t="s">
        <v>15</v>
      </c>
      <c r="J79" s="5">
        <v>45298</v>
      </c>
    </row>
    <row r="80" spans="1:10" x14ac:dyDescent="0.25">
      <c r="A80" t="s">
        <v>186</v>
      </c>
      <c r="B80" t="s">
        <v>187</v>
      </c>
      <c r="C80" t="str">
        <f>_xlfn.CONCAT(Students[[#This Row],[Student_Name]],"@gmail.com")</f>
        <v>Student_79@gmail.com</v>
      </c>
      <c r="D80" t="s">
        <v>11</v>
      </c>
      <c r="E80" s="5">
        <v>38085</v>
      </c>
      <c r="F80" t="s">
        <v>54</v>
      </c>
      <c r="G80" t="s">
        <v>36</v>
      </c>
      <c r="H80" t="s">
        <v>43</v>
      </c>
      <c r="I80" t="s">
        <v>26</v>
      </c>
      <c r="J80" s="5">
        <v>45370</v>
      </c>
    </row>
    <row r="81" spans="1:10" x14ac:dyDescent="0.25">
      <c r="A81" t="s">
        <v>188</v>
      </c>
      <c r="B81" t="s">
        <v>189</v>
      </c>
      <c r="C81" t="str">
        <f>_xlfn.CONCAT(Students[[#This Row],[Student_Name]],"@gmail.com")</f>
        <v>Student_80@gmail.com</v>
      </c>
      <c r="D81" t="s">
        <v>18</v>
      </c>
      <c r="E81" s="5">
        <v>37796</v>
      </c>
      <c r="F81" t="s">
        <v>40</v>
      </c>
      <c r="G81" t="s">
        <v>36</v>
      </c>
      <c r="H81" t="s">
        <v>33</v>
      </c>
      <c r="I81" t="s">
        <v>29</v>
      </c>
      <c r="J81" s="5">
        <v>45294</v>
      </c>
    </row>
    <row r="82" spans="1:10" x14ac:dyDescent="0.25">
      <c r="A82" t="s">
        <v>190</v>
      </c>
      <c r="B82" t="s">
        <v>191</v>
      </c>
      <c r="C82" t="str">
        <f>_xlfn.CONCAT(Students[[#This Row],[Student_Name]],"@gmail.com")</f>
        <v>Student_81@gmail.com</v>
      </c>
      <c r="D82" t="s">
        <v>18</v>
      </c>
      <c r="E82" s="5">
        <v>37240</v>
      </c>
      <c r="F82" t="s">
        <v>25</v>
      </c>
      <c r="G82" t="s">
        <v>67</v>
      </c>
      <c r="H82" t="s">
        <v>21</v>
      </c>
      <c r="I82" t="s">
        <v>15</v>
      </c>
      <c r="J82" s="5">
        <v>45305</v>
      </c>
    </row>
    <row r="83" spans="1:10" x14ac:dyDescent="0.25">
      <c r="A83" t="s">
        <v>192</v>
      </c>
      <c r="B83" t="s">
        <v>193</v>
      </c>
      <c r="C83" t="str">
        <f>_xlfn.CONCAT(Students[[#This Row],[Student_Name]],"@gmail.com")</f>
        <v>Student_82@gmail.com</v>
      </c>
      <c r="D83" t="s">
        <v>18</v>
      </c>
      <c r="E83" s="5">
        <v>36324</v>
      </c>
      <c r="F83" t="s">
        <v>12</v>
      </c>
      <c r="G83" t="s">
        <v>36</v>
      </c>
      <c r="H83" t="s">
        <v>43</v>
      </c>
      <c r="I83" t="s">
        <v>15</v>
      </c>
      <c r="J83" s="5">
        <v>45346</v>
      </c>
    </row>
    <row r="84" spans="1:10" x14ac:dyDescent="0.25">
      <c r="A84" t="s">
        <v>194</v>
      </c>
      <c r="B84" t="s">
        <v>195</v>
      </c>
      <c r="C84" t="str">
        <f>_xlfn.CONCAT(Students[[#This Row],[Student_Name]],"@gmail.com")</f>
        <v>Student_83@gmail.com</v>
      </c>
      <c r="D84" t="s">
        <v>11</v>
      </c>
      <c r="E84" s="5">
        <v>37539</v>
      </c>
      <c r="F84" t="s">
        <v>12</v>
      </c>
      <c r="G84" t="s">
        <v>36</v>
      </c>
      <c r="H84" t="s">
        <v>43</v>
      </c>
      <c r="I84" t="s">
        <v>22</v>
      </c>
      <c r="J84" s="5">
        <v>45358</v>
      </c>
    </row>
    <row r="85" spans="1:10" x14ac:dyDescent="0.25">
      <c r="A85" t="s">
        <v>196</v>
      </c>
      <c r="B85" t="s">
        <v>197</v>
      </c>
      <c r="C85" t="str">
        <f>_xlfn.CONCAT(Students[[#This Row],[Student_Name]],"@gmail.com")</f>
        <v>Student_84@gmail.com</v>
      </c>
      <c r="D85" t="s">
        <v>18</v>
      </c>
      <c r="E85" s="5">
        <v>37278</v>
      </c>
      <c r="F85" t="s">
        <v>32</v>
      </c>
      <c r="G85" t="s">
        <v>13</v>
      </c>
      <c r="H85" t="s">
        <v>33</v>
      </c>
      <c r="I85" t="s">
        <v>37</v>
      </c>
      <c r="J85" s="5">
        <v>45384</v>
      </c>
    </row>
    <row r="86" spans="1:10" x14ac:dyDescent="0.25">
      <c r="A86" t="s">
        <v>198</v>
      </c>
      <c r="B86" t="s">
        <v>199</v>
      </c>
      <c r="C86" t="str">
        <f>_xlfn.CONCAT(Students[[#This Row],[Student_Name]],"@gmail.com")</f>
        <v>Student_85@gmail.com</v>
      </c>
      <c r="D86" t="s">
        <v>18</v>
      </c>
      <c r="E86" s="5">
        <v>37777</v>
      </c>
      <c r="F86" t="s">
        <v>25</v>
      </c>
      <c r="G86" t="s">
        <v>36</v>
      </c>
      <c r="H86" t="s">
        <v>43</v>
      </c>
      <c r="I86" t="s">
        <v>37</v>
      </c>
      <c r="J86" s="5">
        <v>45395</v>
      </c>
    </row>
    <row r="87" spans="1:10" x14ac:dyDescent="0.25">
      <c r="A87" t="s">
        <v>200</v>
      </c>
      <c r="B87" t="s">
        <v>201</v>
      </c>
      <c r="C87" t="str">
        <f>_xlfn.CONCAT(Students[[#This Row],[Student_Name]],"@gmail.com")</f>
        <v>Student_86@gmail.com</v>
      </c>
      <c r="D87" t="s">
        <v>18</v>
      </c>
      <c r="E87" s="5">
        <v>36452</v>
      </c>
      <c r="F87" t="s">
        <v>54</v>
      </c>
      <c r="G87" t="s">
        <v>13</v>
      </c>
      <c r="H87" t="s">
        <v>33</v>
      </c>
      <c r="I87" t="s">
        <v>15</v>
      </c>
      <c r="J87" s="5">
        <v>45341</v>
      </c>
    </row>
    <row r="88" spans="1:10" x14ac:dyDescent="0.25">
      <c r="A88" t="s">
        <v>202</v>
      </c>
      <c r="B88" t="s">
        <v>203</v>
      </c>
      <c r="C88" t="str">
        <f>_xlfn.CONCAT(Students[[#This Row],[Student_Name]],"@gmail.com")</f>
        <v>Student_87@gmail.com</v>
      </c>
      <c r="D88" t="s">
        <v>11</v>
      </c>
      <c r="E88" s="5">
        <v>36905</v>
      </c>
      <c r="F88" t="s">
        <v>12</v>
      </c>
      <c r="G88" t="s">
        <v>36</v>
      </c>
      <c r="H88" t="s">
        <v>21</v>
      </c>
      <c r="I88" t="s">
        <v>22</v>
      </c>
      <c r="J88" s="5">
        <v>45310</v>
      </c>
    </row>
    <row r="89" spans="1:10" x14ac:dyDescent="0.25">
      <c r="A89" t="s">
        <v>204</v>
      </c>
      <c r="B89" t="s">
        <v>205</v>
      </c>
      <c r="C89" t="str">
        <f>_xlfn.CONCAT(Students[[#This Row],[Student_Name]],"@gmail.com")</f>
        <v>Student_88@gmail.com</v>
      </c>
      <c r="D89" t="s">
        <v>11</v>
      </c>
      <c r="E89" s="5">
        <v>36519</v>
      </c>
      <c r="F89" t="s">
        <v>12</v>
      </c>
      <c r="G89" t="s">
        <v>67</v>
      </c>
      <c r="H89" t="s">
        <v>43</v>
      </c>
      <c r="I89" t="s">
        <v>29</v>
      </c>
      <c r="J89" s="5">
        <v>45325</v>
      </c>
    </row>
    <row r="90" spans="1:10" x14ac:dyDescent="0.25">
      <c r="A90" t="s">
        <v>206</v>
      </c>
      <c r="B90" t="s">
        <v>207</v>
      </c>
      <c r="C90" t="str">
        <f>_xlfn.CONCAT(Students[[#This Row],[Student_Name]],"@gmail.com")</f>
        <v>Student_89@gmail.com</v>
      </c>
      <c r="D90" t="s">
        <v>11</v>
      </c>
      <c r="E90" s="5">
        <v>37358</v>
      </c>
      <c r="F90" t="s">
        <v>40</v>
      </c>
      <c r="G90" t="s">
        <v>36</v>
      </c>
      <c r="H90" t="s">
        <v>14</v>
      </c>
      <c r="I90" t="s">
        <v>37</v>
      </c>
      <c r="J90" s="5">
        <v>45293</v>
      </c>
    </row>
    <row r="91" spans="1:10" x14ac:dyDescent="0.25">
      <c r="A91" t="s">
        <v>208</v>
      </c>
      <c r="B91" t="s">
        <v>209</v>
      </c>
      <c r="C91" t="str">
        <f>_xlfn.CONCAT(Students[[#This Row],[Student_Name]],"@gmail.com")</f>
        <v>Student_90@gmail.com</v>
      </c>
      <c r="D91" t="s">
        <v>11</v>
      </c>
      <c r="E91" s="5">
        <v>37153</v>
      </c>
      <c r="F91" t="s">
        <v>25</v>
      </c>
      <c r="G91" t="s">
        <v>13</v>
      </c>
      <c r="H91" t="s">
        <v>21</v>
      </c>
      <c r="I91" t="s">
        <v>29</v>
      </c>
      <c r="J91" s="5">
        <v>45322</v>
      </c>
    </row>
    <row r="92" spans="1:10" x14ac:dyDescent="0.25">
      <c r="A92" t="s">
        <v>210</v>
      </c>
      <c r="B92" t="s">
        <v>211</v>
      </c>
      <c r="C92" t="str">
        <f>_xlfn.CONCAT(Students[[#This Row],[Student_Name]],"@gmail.com")</f>
        <v>Student_91@gmail.com</v>
      </c>
      <c r="D92" t="s">
        <v>18</v>
      </c>
      <c r="E92" s="5">
        <v>37585</v>
      </c>
      <c r="F92" t="s">
        <v>19</v>
      </c>
      <c r="G92" t="s">
        <v>36</v>
      </c>
      <c r="H92" t="s">
        <v>21</v>
      </c>
      <c r="I92" t="s">
        <v>26</v>
      </c>
      <c r="J92" s="5">
        <v>45364</v>
      </c>
    </row>
    <row r="93" spans="1:10" x14ac:dyDescent="0.25">
      <c r="A93" t="s">
        <v>212</v>
      </c>
      <c r="B93" t="s">
        <v>213</v>
      </c>
      <c r="C93" t="str">
        <f>_xlfn.CONCAT(Students[[#This Row],[Student_Name]],"@gmail.com")</f>
        <v>Student_92@gmail.com</v>
      </c>
      <c r="D93" t="s">
        <v>11</v>
      </c>
      <c r="E93" s="5">
        <v>38078</v>
      </c>
      <c r="F93" t="s">
        <v>25</v>
      </c>
      <c r="G93" t="s">
        <v>67</v>
      </c>
      <c r="H93" t="s">
        <v>14</v>
      </c>
      <c r="I93" t="s">
        <v>22</v>
      </c>
      <c r="J93" s="5">
        <v>45297</v>
      </c>
    </row>
    <row r="94" spans="1:10" x14ac:dyDescent="0.25">
      <c r="A94" t="s">
        <v>214</v>
      </c>
      <c r="B94" t="s">
        <v>215</v>
      </c>
      <c r="C94" t="str">
        <f>_xlfn.CONCAT(Students[[#This Row],[Student_Name]],"@gmail.com")</f>
        <v>Student_93@gmail.com</v>
      </c>
      <c r="D94" t="s">
        <v>18</v>
      </c>
      <c r="E94" s="5">
        <v>37265</v>
      </c>
      <c r="F94" t="s">
        <v>32</v>
      </c>
      <c r="G94" t="s">
        <v>13</v>
      </c>
      <c r="H94" t="s">
        <v>21</v>
      </c>
      <c r="I94" t="s">
        <v>15</v>
      </c>
      <c r="J94" s="5">
        <v>45377</v>
      </c>
    </row>
    <row r="95" spans="1:10" x14ac:dyDescent="0.25">
      <c r="A95" t="s">
        <v>216</v>
      </c>
      <c r="B95" t="s">
        <v>217</v>
      </c>
      <c r="C95" t="str">
        <f>_xlfn.CONCAT(Students[[#This Row],[Student_Name]],"@gmail.com")</f>
        <v>Student_94@gmail.com</v>
      </c>
      <c r="D95" t="s">
        <v>18</v>
      </c>
      <c r="E95" s="5">
        <v>37596</v>
      </c>
      <c r="F95" t="s">
        <v>54</v>
      </c>
      <c r="G95" t="s">
        <v>36</v>
      </c>
      <c r="H95" t="s">
        <v>14</v>
      </c>
      <c r="I95" t="s">
        <v>22</v>
      </c>
      <c r="J95" s="5">
        <v>45367</v>
      </c>
    </row>
    <row r="96" spans="1:10" x14ac:dyDescent="0.25">
      <c r="A96" t="s">
        <v>218</v>
      </c>
      <c r="B96" t="s">
        <v>219</v>
      </c>
      <c r="C96" t="str">
        <f>_xlfn.CONCAT(Students[[#This Row],[Student_Name]],"@gmail.com")</f>
        <v>Student_95@gmail.com</v>
      </c>
      <c r="D96" t="s">
        <v>18</v>
      </c>
      <c r="E96" s="5">
        <v>38042</v>
      </c>
      <c r="F96" t="s">
        <v>54</v>
      </c>
      <c r="G96" t="s">
        <v>36</v>
      </c>
      <c r="H96" t="s">
        <v>33</v>
      </c>
      <c r="I96" t="s">
        <v>15</v>
      </c>
      <c r="J96" s="5">
        <v>45346</v>
      </c>
    </row>
    <row r="97" spans="1:10" x14ac:dyDescent="0.25">
      <c r="A97" t="s">
        <v>220</v>
      </c>
      <c r="B97" t="s">
        <v>221</v>
      </c>
      <c r="C97" t="str">
        <f>_xlfn.CONCAT(Students[[#This Row],[Student_Name]],"@gmail.com")</f>
        <v>Student_96@gmail.com</v>
      </c>
      <c r="D97" t="s">
        <v>11</v>
      </c>
      <c r="E97" s="5">
        <v>38012</v>
      </c>
      <c r="F97" t="s">
        <v>25</v>
      </c>
      <c r="G97" t="s">
        <v>36</v>
      </c>
      <c r="H97" t="s">
        <v>21</v>
      </c>
      <c r="I97" t="s">
        <v>22</v>
      </c>
      <c r="J97" s="5">
        <v>45362</v>
      </c>
    </row>
    <row r="98" spans="1:10" x14ac:dyDescent="0.25">
      <c r="A98" t="s">
        <v>222</v>
      </c>
      <c r="B98" t="s">
        <v>223</v>
      </c>
      <c r="C98" t="str">
        <f>_xlfn.CONCAT(Students[[#This Row],[Student_Name]],"@gmail.com")</f>
        <v>Student_97@gmail.com</v>
      </c>
      <c r="D98" t="s">
        <v>18</v>
      </c>
      <c r="E98" s="5">
        <v>37154</v>
      </c>
      <c r="F98" t="s">
        <v>12</v>
      </c>
      <c r="G98" t="s">
        <v>36</v>
      </c>
      <c r="H98" t="s">
        <v>33</v>
      </c>
      <c r="I98" t="s">
        <v>37</v>
      </c>
      <c r="J98" s="5">
        <v>45397</v>
      </c>
    </row>
    <row r="99" spans="1:10" x14ac:dyDescent="0.25">
      <c r="A99" t="s">
        <v>224</v>
      </c>
      <c r="B99" t="s">
        <v>225</v>
      </c>
      <c r="C99" t="str">
        <f>_xlfn.CONCAT(Students[[#This Row],[Student_Name]],"@gmail.com")</f>
        <v>Student_98@gmail.com</v>
      </c>
      <c r="D99" t="s">
        <v>18</v>
      </c>
      <c r="E99" s="5">
        <v>37345</v>
      </c>
      <c r="F99" t="s">
        <v>40</v>
      </c>
      <c r="G99" t="s">
        <v>20</v>
      </c>
      <c r="H99" t="s">
        <v>14</v>
      </c>
      <c r="I99" t="s">
        <v>15</v>
      </c>
      <c r="J99" s="5">
        <v>45378</v>
      </c>
    </row>
    <row r="100" spans="1:10" x14ac:dyDescent="0.25">
      <c r="A100" t="s">
        <v>226</v>
      </c>
      <c r="B100" t="s">
        <v>227</v>
      </c>
      <c r="C100" t="str">
        <f>_xlfn.CONCAT(Students[[#This Row],[Student_Name]],"@gmail.com")</f>
        <v>Student_99@gmail.com</v>
      </c>
      <c r="D100" t="s">
        <v>11</v>
      </c>
      <c r="E100" s="5">
        <v>38048</v>
      </c>
      <c r="F100" t="s">
        <v>40</v>
      </c>
      <c r="G100" t="s">
        <v>20</v>
      </c>
      <c r="H100" t="s">
        <v>14</v>
      </c>
      <c r="I100" t="s">
        <v>26</v>
      </c>
      <c r="J100" s="5">
        <v>45307</v>
      </c>
    </row>
    <row r="101" spans="1:10" x14ac:dyDescent="0.25">
      <c r="A101" t="s">
        <v>228</v>
      </c>
      <c r="B101" t="s">
        <v>229</v>
      </c>
      <c r="C101" t="str">
        <f>_xlfn.CONCAT(Students[[#This Row],[Student_Name]],"@gmail.com")</f>
        <v>Student_100@gmail.com</v>
      </c>
      <c r="D101" t="s">
        <v>11</v>
      </c>
      <c r="E101" s="5">
        <v>36982</v>
      </c>
      <c r="F101" t="s">
        <v>32</v>
      </c>
      <c r="G101" t="s">
        <v>36</v>
      </c>
      <c r="H101" t="s">
        <v>43</v>
      </c>
      <c r="I101" t="s">
        <v>29</v>
      </c>
      <c r="J101" s="5">
        <v>45329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XFD1048576"/>
    </sheetView>
  </sheetViews>
  <sheetFormatPr defaultRowHeight="15" x14ac:dyDescent="0.25"/>
  <cols>
    <col min="1" max="1" width="15.140625" bestFit="1" customWidth="1"/>
    <col min="2" max="2" width="18.7109375" bestFit="1" customWidth="1"/>
    <col min="3" max="3" width="10.42578125" bestFit="1" customWidth="1"/>
    <col min="4" max="4" width="10.5703125" bestFit="1" customWidth="1"/>
    <col min="5" max="5" width="14.7109375" bestFit="1" customWidth="1"/>
    <col min="6" max="6" width="17.5703125" bestFit="1" customWidth="1"/>
  </cols>
  <sheetData>
    <row r="1" spans="1:6" x14ac:dyDescent="0.25">
      <c r="A1" t="s">
        <v>7</v>
      </c>
      <c r="B1" t="s">
        <v>230</v>
      </c>
      <c r="C1" t="s">
        <v>231</v>
      </c>
      <c r="D1" t="s">
        <v>4</v>
      </c>
      <c r="E1" t="s">
        <v>232</v>
      </c>
      <c r="F1" t="s">
        <v>233</v>
      </c>
    </row>
    <row r="2" spans="1:6" x14ac:dyDescent="0.25">
      <c r="A2" t="s">
        <v>26</v>
      </c>
      <c r="B2" t="s">
        <v>234</v>
      </c>
      <c r="C2" t="s">
        <v>235</v>
      </c>
      <c r="D2" t="s">
        <v>40</v>
      </c>
      <c r="E2" s="1">
        <v>44338</v>
      </c>
      <c r="F2">
        <v>8</v>
      </c>
    </row>
    <row r="3" spans="1:6" x14ac:dyDescent="0.25">
      <c r="A3" t="s">
        <v>15</v>
      </c>
      <c r="B3" t="s">
        <v>236</v>
      </c>
      <c r="C3" t="s">
        <v>237</v>
      </c>
      <c r="D3" t="s">
        <v>32</v>
      </c>
      <c r="E3" s="1">
        <v>44736</v>
      </c>
      <c r="F3">
        <v>16</v>
      </c>
    </row>
    <row r="4" spans="1:6" x14ac:dyDescent="0.25">
      <c r="A4" t="s">
        <v>29</v>
      </c>
      <c r="B4" t="s">
        <v>238</v>
      </c>
      <c r="C4" t="s">
        <v>237</v>
      </c>
      <c r="D4" t="s">
        <v>40</v>
      </c>
      <c r="E4" s="1">
        <v>44323</v>
      </c>
      <c r="F4">
        <v>18</v>
      </c>
    </row>
    <row r="5" spans="1:6" x14ac:dyDescent="0.25">
      <c r="A5" t="s">
        <v>37</v>
      </c>
      <c r="B5" t="s">
        <v>239</v>
      </c>
      <c r="C5" t="s">
        <v>235</v>
      </c>
      <c r="D5" t="s">
        <v>25</v>
      </c>
      <c r="E5" s="1">
        <v>44764</v>
      </c>
      <c r="F5">
        <v>12</v>
      </c>
    </row>
    <row r="6" spans="1:6" x14ac:dyDescent="0.25">
      <c r="A6" t="s">
        <v>22</v>
      </c>
      <c r="B6" t="s">
        <v>240</v>
      </c>
      <c r="C6" t="s">
        <v>241</v>
      </c>
      <c r="D6" t="s">
        <v>19</v>
      </c>
      <c r="E6" s="1">
        <v>44845</v>
      </c>
      <c r="F6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101"/>
  <sheetViews>
    <sheetView workbookViewId="0">
      <selection activeCell="H4" sqref="H4"/>
    </sheetView>
  </sheetViews>
  <sheetFormatPr defaultRowHeight="15" x14ac:dyDescent="0.25"/>
  <cols>
    <col min="1" max="1" width="16.28515625" bestFit="1" customWidth="1"/>
    <col min="2" max="2" width="15.42578125" bestFit="1" customWidth="1"/>
    <col min="3" max="3" width="18.7109375" style="4" bestFit="1" customWidth="1"/>
    <col min="4" max="4" width="12.7109375" style="4" bestFit="1" customWidth="1"/>
    <col min="5" max="5" width="19.85546875" bestFit="1" customWidth="1"/>
    <col min="6" max="6" width="11" bestFit="1" customWidth="1"/>
  </cols>
  <sheetData>
    <row r="1" spans="1:6" x14ac:dyDescent="0.25">
      <c r="A1" t="s">
        <v>242</v>
      </c>
      <c r="B1" t="s">
        <v>0</v>
      </c>
      <c r="C1" s="4" t="s">
        <v>243</v>
      </c>
      <c r="D1" s="4" t="s">
        <v>244</v>
      </c>
      <c r="E1" t="s">
        <v>245</v>
      </c>
      <c r="F1" t="s">
        <v>246</v>
      </c>
    </row>
    <row r="2" spans="1:6" x14ac:dyDescent="0.25">
      <c r="A2" t="s">
        <v>247</v>
      </c>
      <c r="B2" t="s">
        <v>9</v>
      </c>
      <c r="C2" s="5">
        <v>45341</v>
      </c>
      <c r="D2" s="4">
        <v>50000</v>
      </c>
      <c r="E2" t="s">
        <v>248</v>
      </c>
      <c r="F2" t="s">
        <v>249</v>
      </c>
    </row>
    <row r="3" spans="1:6" x14ac:dyDescent="0.25">
      <c r="A3" t="s">
        <v>250</v>
      </c>
      <c r="B3" t="s">
        <v>16</v>
      </c>
      <c r="C3" s="5">
        <v>45398</v>
      </c>
      <c r="D3" s="4">
        <v>50000</v>
      </c>
      <c r="E3" t="s">
        <v>251</v>
      </c>
      <c r="F3" t="s">
        <v>252</v>
      </c>
    </row>
    <row r="4" spans="1:6" x14ac:dyDescent="0.25">
      <c r="A4" t="s">
        <v>253</v>
      </c>
      <c r="B4" t="s">
        <v>23</v>
      </c>
      <c r="C4" s="5">
        <v>45335</v>
      </c>
      <c r="D4" s="4">
        <v>45000</v>
      </c>
      <c r="E4" t="s">
        <v>248</v>
      </c>
      <c r="F4" t="s">
        <v>252</v>
      </c>
    </row>
    <row r="5" spans="1:6" x14ac:dyDescent="0.25">
      <c r="A5" t="s">
        <v>254</v>
      </c>
      <c r="B5" t="s">
        <v>27</v>
      </c>
      <c r="C5" s="5">
        <v>45323</v>
      </c>
      <c r="D5" s="4">
        <v>50000</v>
      </c>
      <c r="E5" t="s">
        <v>255</v>
      </c>
      <c r="F5" t="s">
        <v>252</v>
      </c>
    </row>
    <row r="6" spans="1:6" x14ac:dyDescent="0.25">
      <c r="A6" t="s">
        <v>256</v>
      </c>
      <c r="B6" t="s">
        <v>30</v>
      </c>
      <c r="C6" s="5">
        <v>45338</v>
      </c>
      <c r="D6" s="4">
        <v>45000</v>
      </c>
      <c r="E6" t="s">
        <v>251</v>
      </c>
      <c r="F6" t="s">
        <v>252</v>
      </c>
    </row>
    <row r="7" spans="1:6" x14ac:dyDescent="0.25">
      <c r="A7" t="s">
        <v>257</v>
      </c>
      <c r="B7" t="s">
        <v>34</v>
      </c>
      <c r="C7" s="5">
        <v>45412</v>
      </c>
      <c r="D7" s="4">
        <v>50000</v>
      </c>
      <c r="E7" t="s">
        <v>255</v>
      </c>
      <c r="F7" t="s">
        <v>249</v>
      </c>
    </row>
    <row r="8" spans="1:6" x14ac:dyDescent="0.25">
      <c r="A8" t="s">
        <v>258</v>
      </c>
      <c r="B8" t="s">
        <v>38</v>
      </c>
      <c r="C8" s="5">
        <v>45415</v>
      </c>
      <c r="D8" s="4">
        <v>120000</v>
      </c>
      <c r="E8" t="s">
        <v>255</v>
      </c>
      <c r="F8" t="s">
        <v>252</v>
      </c>
    </row>
    <row r="9" spans="1:6" x14ac:dyDescent="0.25">
      <c r="A9" t="s">
        <v>259</v>
      </c>
      <c r="B9" t="s">
        <v>41</v>
      </c>
      <c r="C9" s="5">
        <v>45429</v>
      </c>
      <c r="D9" s="4">
        <v>50000</v>
      </c>
      <c r="E9" t="s">
        <v>251</v>
      </c>
      <c r="F9" t="s">
        <v>249</v>
      </c>
    </row>
    <row r="10" spans="1:6" x14ac:dyDescent="0.25">
      <c r="A10" t="s">
        <v>260</v>
      </c>
      <c r="B10" t="s">
        <v>44</v>
      </c>
      <c r="C10" s="5">
        <v>45420</v>
      </c>
      <c r="D10" s="4">
        <v>75000</v>
      </c>
      <c r="E10" t="s">
        <v>255</v>
      </c>
      <c r="F10" t="s">
        <v>249</v>
      </c>
    </row>
    <row r="11" spans="1:6" x14ac:dyDescent="0.25">
      <c r="A11" t="s">
        <v>261</v>
      </c>
      <c r="B11" t="s">
        <v>46</v>
      </c>
      <c r="C11" s="5">
        <v>45303</v>
      </c>
      <c r="D11" s="4">
        <v>50000</v>
      </c>
      <c r="E11" t="s">
        <v>248</v>
      </c>
      <c r="F11" t="s">
        <v>252</v>
      </c>
    </row>
    <row r="12" spans="1:6" x14ac:dyDescent="0.25">
      <c r="A12" t="s">
        <v>262</v>
      </c>
      <c r="B12" t="s">
        <v>48</v>
      </c>
      <c r="C12" s="5">
        <v>45370</v>
      </c>
      <c r="D12" s="4">
        <v>50000</v>
      </c>
      <c r="E12" t="s">
        <v>248</v>
      </c>
      <c r="F12" t="s">
        <v>249</v>
      </c>
    </row>
    <row r="13" spans="1:6" x14ac:dyDescent="0.25">
      <c r="A13" t="s">
        <v>263</v>
      </c>
      <c r="B13" t="s">
        <v>50</v>
      </c>
      <c r="C13" s="5">
        <v>45339</v>
      </c>
      <c r="D13" s="4">
        <v>120000</v>
      </c>
      <c r="E13" t="s">
        <v>255</v>
      </c>
      <c r="F13" t="s">
        <v>249</v>
      </c>
    </row>
    <row r="14" spans="1:6" x14ac:dyDescent="0.25">
      <c r="A14" t="s">
        <v>264</v>
      </c>
      <c r="B14" t="s">
        <v>52</v>
      </c>
      <c r="C14" s="5">
        <v>45429</v>
      </c>
      <c r="D14" s="4">
        <v>75000</v>
      </c>
      <c r="E14" t="s">
        <v>251</v>
      </c>
      <c r="F14" t="s">
        <v>252</v>
      </c>
    </row>
    <row r="15" spans="1:6" x14ac:dyDescent="0.25">
      <c r="A15" t="s">
        <v>265</v>
      </c>
      <c r="B15" t="s">
        <v>55</v>
      </c>
      <c r="C15" s="5">
        <v>45400</v>
      </c>
      <c r="D15" s="4">
        <v>50000</v>
      </c>
      <c r="E15" t="s">
        <v>251</v>
      </c>
      <c r="F15" t="s">
        <v>252</v>
      </c>
    </row>
    <row r="16" spans="1:6" x14ac:dyDescent="0.25">
      <c r="A16" t="s">
        <v>266</v>
      </c>
      <c r="B16" t="s">
        <v>57</v>
      </c>
      <c r="C16" s="5">
        <v>45318</v>
      </c>
      <c r="D16" s="4">
        <v>50000</v>
      </c>
      <c r="E16" t="s">
        <v>251</v>
      </c>
      <c r="F16" t="s">
        <v>252</v>
      </c>
    </row>
    <row r="17" spans="1:6" x14ac:dyDescent="0.25">
      <c r="A17" t="s">
        <v>267</v>
      </c>
      <c r="B17" t="s">
        <v>59</v>
      </c>
      <c r="C17" s="5">
        <v>45315</v>
      </c>
      <c r="D17" s="4">
        <v>50000</v>
      </c>
      <c r="E17" t="s">
        <v>248</v>
      </c>
      <c r="F17" t="s">
        <v>252</v>
      </c>
    </row>
    <row r="18" spans="1:6" x14ac:dyDescent="0.25">
      <c r="A18" t="s">
        <v>268</v>
      </c>
      <c r="B18" t="s">
        <v>61</v>
      </c>
      <c r="C18" s="5">
        <v>45389</v>
      </c>
      <c r="D18" s="4">
        <v>50000</v>
      </c>
      <c r="E18" t="s">
        <v>251</v>
      </c>
      <c r="F18" t="s">
        <v>252</v>
      </c>
    </row>
    <row r="19" spans="1:6" x14ac:dyDescent="0.25">
      <c r="A19" t="s">
        <v>269</v>
      </c>
      <c r="B19" t="s">
        <v>63</v>
      </c>
      <c r="C19" s="5">
        <v>45321</v>
      </c>
      <c r="D19" s="4">
        <v>45000</v>
      </c>
      <c r="E19" t="s">
        <v>255</v>
      </c>
      <c r="F19" t="s">
        <v>249</v>
      </c>
    </row>
    <row r="20" spans="1:6" x14ac:dyDescent="0.25">
      <c r="A20" t="s">
        <v>270</v>
      </c>
      <c r="B20" t="s">
        <v>65</v>
      </c>
      <c r="C20" s="5">
        <v>45379</v>
      </c>
      <c r="D20" s="4">
        <v>120000</v>
      </c>
      <c r="E20" t="s">
        <v>251</v>
      </c>
      <c r="F20" t="s">
        <v>252</v>
      </c>
    </row>
    <row r="21" spans="1:6" x14ac:dyDescent="0.25">
      <c r="A21" t="s">
        <v>271</v>
      </c>
      <c r="B21" t="s">
        <v>68</v>
      </c>
      <c r="C21" s="5">
        <v>45336</v>
      </c>
      <c r="D21" s="4">
        <v>50000</v>
      </c>
      <c r="E21" t="s">
        <v>251</v>
      </c>
      <c r="F21" t="s">
        <v>252</v>
      </c>
    </row>
    <row r="22" spans="1:6" x14ac:dyDescent="0.25">
      <c r="A22" t="s">
        <v>272</v>
      </c>
      <c r="B22" t="s">
        <v>70</v>
      </c>
      <c r="C22" s="5">
        <v>45342</v>
      </c>
      <c r="D22" s="4">
        <v>45000</v>
      </c>
      <c r="E22" t="s">
        <v>251</v>
      </c>
      <c r="F22" t="s">
        <v>252</v>
      </c>
    </row>
    <row r="23" spans="1:6" x14ac:dyDescent="0.25">
      <c r="A23" t="s">
        <v>273</v>
      </c>
      <c r="B23" t="s">
        <v>72</v>
      </c>
      <c r="C23" s="5">
        <v>45300</v>
      </c>
      <c r="D23" s="4">
        <v>50000</v>
      </c>
      <c r="E23" t="s">
        <v>248</v>
      </c>
      <c r="F23" t="s">
        <v>252</v>
      </c>
    </row>
    <row r="24" spans="1:6" x14ac:dyDescent="0.25">
      <c r="A24" t="s">
        <v>274</v>
      </c>
      <c r="B24" t="s">
        <v>74</v>
      </c>
      <c r="C24" s="5">
        <v>45364</v>
      </c>
      <c r="D24" s="4">
        <v>120000</v>
      </c>
      <c r="E24" t="s">
        <v>248</v>
      </c>
      <c r="F24" t="s">
        <v>249</v>
      </c>
    </row>
    <row r="25" spans="1:6" x14ac:dyDescent="0.25">
      <c r="A25" t="s">
        <v>275</v>
      </c>
      <c r="B25" t="s">
        <v>76</v>
      </c>
      <c r="C25" s="5">
        <v>45367</v>
      </c>
      <c r="D25" s="4">
        <v>120000</v>
      </c>
      <c r="E25" t="s">
        <v>251</v>
      </c>
      <c r="F25" t="s">
        <v>249</v>
      </c>
    </row>
    <row r="26" spans="1:6" x14ac:dyDescent="0.25">
      <c r="A26" t="s">
        <v>276</v>
      </c>
      <c r="B26" t="s">
        <v>78</v>
      </c>
      <c r="C26" s="5">
        <v>45318</v>
      </c>
      <c r="D26" s="4">
        <v>50000</v>
      </c>
      <c r="E26" t="s">
        <v>251</v>
      </c>
      <c r="F26" t="s">
        <v>252</v>
      </c>
    </row>
    <row r="27" spans="1:6" x14ac:dyDescent="0.25">
      <c r="A27" t="s">
        <v>277</v>
      </c>
      <c r="B27" t="s">
        <v>80</v>
      </c>
      <c r="C27" s="5">
        <v>45371</v>
      </c>
      <c r="D27" s="4">
        <v>75000</v>
      </c>
      <c r="E27" t="s">
        <v>251</v>
      </c>
      <c r="F27" t="s">
        <v>249</v>
      </c>
    </row>
    <row r="28" spans="1:6" x14ac:dyDescent="0.25">
      <c r="A28" t="s">
        <v>278</v>
      </c>
      <c r="B28" t="s">
        <v>82</v>
      </c>
      <c r="C28" s="5">
        <v>45320</v>
      </c>
      <c r="D28" s="4">
        <v>50000</v>
      </c>
      <c r="E28" t="s">
        <v>248</v>
      </c>
      <c r="F28" t="s">
        <v>249</v>
      </c>
    </row>
    <row r="29" spans="1:6" x14ac:dyDescent="0.25">
      <c r="A29" t="s">
        <v>279</v>
      </c>
      <c r="B29" t="s">
        <v>84</v>
      </c>
      <c r="C29" s="5">
        <v>45408</v>
      </c>
      <c r="D29" s="4">
        <v>120000</v>
      </c>
      <c r="E29" t="s">
        <v>251</v>
      </c>
      <c r="F29" t="s">
        <v>249</v>
      </c>
    </row>
    <row r="30" spans="1:6" x14ac:dyDescent="0.25">
      <c r="A30" t="s">
        <v>280</v>
      </c>
      <c r="B30" t="s">
        <v>86</v>
      </c>
      <c r="C30" s="5">
        <v>45429</v>
      </c>
      <c r="D30" s="4">
        <v>45000</v>
      </c>
      <c r="E30" t="s">
        <v>255</v>
      </c>
      <c r="F30" t="s">
        <v>252</v>
      </c>
    </row>
    <row r="31" spans="1:6" x14ac:dyDescent="0.25">
      <c r="A31" t="s">
        <v>281</v>
      </c>
      <c r="B31" t="s">
        <v>88</v>
      </c>
      <c r="C31" s="5">
        <v>45332</v>
      </c>
      <c r="D31" s="4">
        <v>45000</v>
      </c>
      <c r="E31" t="s">
        <v>255</v>
      </c>
      <c r="F31" t="s">
        <v>252</v>
      </c>
    </row>
    <row r="32" spans="1:6" x14ac:dyDescent="0.25">
      <c r="A32" t="s">
        <v>282</v>
      </c>
      <c r="B32" t="s">
        <v>90</v>
      </c>
      <c r="C32" s="5">
        <v>45374</v>
      </c>
      <c r="D32" s="4">
        <v>75000</v>
      </c>
      <c r="E32" t="s">
        <v>255</v>
      </c>
      <c r="F32" t="s">
        <v>252</v>
      </c>
    </row>
    <row r="33" spans="1:6" x14ac:dyDescent="0.25">
      <c r="A33" t="s">
        <v>283</v>
      </c>
      <c r="B33" t="s">
        <v>92</v>
      </c>
      <c r="C33" s="5">
        <v>45314</v>
      </c>
      <c r="D33" s="4">
        <v>120000</v>
      </c>
      <c r="E33" t="s">
        <v>251</v>
      </c>
      <c r="F33" t="s">
        <v>252</v>
      </c>
    </row>
    <row r="34" spans="1:6" x14ac:dyDescent="0.25">
      <c r="A34" t="s">
        <v>284</v>
      </c>
      <c r="B34" t="s">
        <v>94</v>
      </c>
      <c r="C34" s="5">
        <v>45401</v>
      </c>
      <c r="D34" s="4">
        <v>50000</v>
      </c>
      <c r="E34" t="s">
        <v>255</v>
      </c>
      <c r="F34" t="s">
        <v>252</v>
      </c>
    </row>
    <row r="35" spans="1:6" x14ac:dyDescent="0.25">
      <c r="A35" t="s">
        <v>285</v>
      </c>
      <c r="B35" t="s">
        <v>96</v>
      </c>
      <c r="C35" s="5">
        <v>45416</v>
      </c>
      <c r="D35" s="4">
        <v>45000</v>
      </c>
      <c r="E35" t="s">
        <v>251</v>
      </c>
      <c r="F35" t="s">
        <v>252</v>
      </c>
    </row>
    <row r="36" spans="1:6" x14ac:dyDescent="0.25">
      <c r="A36" t="s">
        <v>286</v>
      </c>
      <c r="B36" t="s">
        <v>98</v>
      </c>
      <c r="C36" s="5">
        <v>45337</v>
      </c>
      <c r="D36" s="4">
        <v>120000</v>
      </c>
      <c r="E36" t="s">
        <v>248</v>
      </c>
      <c r="F36" t="s">
        <v>249</v>
      </c>
    </row>
    <row r="37" spans="1:6" x14ac:dyDescent="0.25">
      <c r="A37" t="s">
        <v>287</v>
      </c>
      <c r="B37" t="s">
        <v>100</v>
      </c>
      <c r="C37" s="5">
        <v>45300</v>
      </c>
      <c r="D37" s="4">
        <v>45000</v>
      </c>
      <c r="E37" t="s">
        <v>255</v>
      </c>
      <c r="F37" t="s">
        <v>249</v>
      </c>
    </row>
    <row r="38" spans="1:6" x14ac:dyDescent="0.25">
      <c r="A38" t="s">
        <v>288</v>
      </c>
      <c r="B38" t="s">
        <v>102</v>
      </c>
      <c r="C38" s="5">
        <v>45375</v>
      </c>
      <c r="D38" s="4">
        <v>120000</v>
      </c>
      <c r="E38" t="s">
        <v>248</v>
      </c>
      <c r="F38" t="s">
        <v>249</v>
      </c>
    </row>
    <row r="39" spans="1:6" x14ac:dyDescent="0.25">
      <c r="A39" t="s">
        <v>289</v>
      </c>
      <c r="B39" t="s">
        <v>104</v>
      </c>
      <c r="C39" s="5">
        <v>45347</v>
      </c>
      <c r="D39" s="4">
        <v>45000</v>
      </c>
      <c r="E39" t="s">
        <v>251</v>
      </c>
      <c r="F39" t="s">
        <v>249</v>
      </c>
    </row>
    <row r="40" spans="1:6" x14ac:dyDescent="0.25">
      <c r="A40" t="s">
        <v>290</v>
      </c>
      <c r="B40" t="s">
        <v>106</v>
      </c>
      <c r="C40" s="5">
        <v>45300</v>
      </c>
      <c r="D40" s="4">
        <v>75000</v>
      </c>
      <c r="E40" t="s">
        <v>251</v>
      </c>
      <c r="F40" t="s">
        <v>249</v>
      </c>
    </row>
    <row r="41" spans="1:6" x14ac:dyDescent="0.25">
      <c r="A41" t="s">
        <v>291</v>
      </c>
      <c r="B41" t="s">
        <v>108</v>
      </c>
      <c r="C41" s="5">
        <v>45410</v>
      </c>
      <c r="D41" s="4">
        <v>45000</v>
      </c>
      <c r="E41" t="s">
        <v>251</v>
      </c>
      <c r="F41" t="s">
        <v>249</v>
      </c>
    </row>
    <row r="42" spans="1:6" x14ac:dyDescent="0.25">
      <c r="A42" t="s">
        <v>292</v>
      </c>
      <c r="B42" t="s">
        <v>110</v>
      </c>
      <c r="C42" s="5">
        <v>45432</v>
      </c>
      <c r="D42" s="4">
        <v>75000</v>
      </c>
      <c r="E42" t="s">
        <v>251</v>
      </c>
      <c r="F42" t="s">
        <v>252</v>
      </c>
    </row>
    <row r="43" spans="1:6" x14ac:dyDescent="0.25">
      <c r="A43" t="s">
        <v>293</v>
      </c>
      <c r="B43" t="s">
        <v>112</v>
      </c>
      <c r="C43" s="5">
        <v>45316</v>
      </c>
      <c r="D43" s="4">
        <v>120000</v>
      </c>
      <c r="E43" t="s">
        <v>248</v>
      </c>
      <c r="F43" t="s">
        <v>252</v>
      </c>
    </row>
    <row r="44" spans="1:6" x14ac:dyDescent="0.25">
      <c r="A44" t="s">
        <v>294</v>
      </c>
      <c r="B44" t="s">
        <v>114</v>
      </c>
      <c r="C44" s="5">
        <v>45395</v>
      </c>
      <c r="D44" s="4">
        <v>75000</v>
      </c>
      <c r="E44" t="s">
        <v>255</v>
      </c>
      <c r="F44" t="s">
        <v>252</v>
      </c>
    </row>
    <row r="45" spans="1:6" x14ac:dyDescent="0.25">
      <c r="A45" t="s">
        <v>295</v>
      </c>
      <c r="B45" t="s">
        <v>116</v>
      </c>
      <c r="C45" s="5">
        <v>45377</v>
      </c>
      <c r="D45" s="4">
        <v>120000</v>
      </c>
      <c r="E45" t="s">
        <v>251</v>
      </c>
      <c r="F45" t="s">
        <v>252</v>
      </c>
    </row>
    <row r="46" spans="1:6" x14ac:dyDescent="0.25">
      <c r="A46" t="s">
        <v>296</v>
      </c>
      <c r="B46" t="s">
        <v>118</v>
      </c>
      <c r="C46" s="5">
        <v>45385</v>
      </c>
      <c r="D46" s="4">
        <v>45000</v>
      </c>
      <c r="E46" t="s">
        <v>255</v>
      </c>
      <c r="F46" t="s">
        <v>249</v>
      </c>
    </row>
    <row r="47" spans="1:6" x14ac:dyDescent="0.25">
      <c r="A47" t="s">
        <v>297</v>
      </c>
      <c r="B47" t="s">
        <v>120</v>
      </c>
      <c r="C47" s="5">
        <v>45315</v>
      </c>
      <c r="D47" s="4">
        <v>50000</v>
      </c>
      <c r="E47" t="s">
        <v>248</v>
      </c>
      <c r="F47" t="s">
        <v>252</v>
      </c>
    </row>
    <row r="48" spans="1:6" x14ac:dyDescent="0.25">
      <c r="A48" t="s">
        <v>298</v>
      </c>
      <c r="B48" t="s">
        <v>122</v>
      </c>
      <c r="C48" s="5">
        <v>45407</v>
      </c>
      <c r="D48" s="4">
        <v>50000</v>
      </c>
      <c r="E48" t="s">
        <v>248</v>
      </c>
      <c r="F48" t="s">
        <v>252</v>
      </c>
    </row>
    <row r="49" spans="1:6" x14ac:dyDescent="0.25">
      <c r="A49" t="s">
        <v>299</v>
      </c>
      <c r="B49" t="s">
        <v>124</v>
      </c>
      <c r="C49" s="5">
        <v>45355</v>
      </c>
      <c r="D49" s="4">
        <v>120000</v>
      </c>
      <c r="E49" t="s">
        <v>251</v>
      </c>
      <c r="F49" t="s">
        <v>249</v>
      </c>
    </row>
    <row r="50" spans="1:6" x14ac:dyDescent="0.25">
      <c r="A50" t="s">
        <v>300</v>
      </c>
      <c r="B50" t="s">
        <v>126</v>
      </c>
      <c r="C50" s="5">
        <v>45391</v>
      </c>
      <c r="D50" s="4">
        <v>50000</v>
      </c>
      <c r="E50" t="s">
        <v>251</v>
      </c>
      <c r="F50" t="s">
        <v>249</v>
      </c>
    </row>
    <row r="51" spans="1:6" x14ac:dyDescent="0.25">
      <c r="A51" t="s">
        <v>301</v>
      </c>
      <c r="B51" t="s">
        <v>128</v>
      </c>
      <c r="C51" s="5">
        <v>45416</v>
      </c>
      <c r="D51" s="4">
        <v>45000</v>
      </c>
      <c r="E51" t="s">
        <v>255</v>
      </c>
      <c r="F51" t="s">
        <v>249</v>
      </c>
    </row>
    <row r="52" spans="1:6" x14ac:dyDescent="0.25">
      <c r="A52" t="s">
        <v>302</v>
      </c>
      <c r="B52" t="s">
        <v>130</v>
      </c>
      <c r="C52" s="5">
        <v>45368</v>
      </c>
      <c r="D52" s="4">
        <v>45000</v>
      </c>
      <c r="E52" t="s">
        <v>251</v>
      </c>
      <c r="F52" t="s">
        <v>249</v>
      </c>
    </row>
    <row r="53" spans="1:6" x14ac:dyDescent="0.25">
      <c r="A53" t="s">
        <v>303</v>
      </c>
      <c r="B53" t="s">
        <v>132</v>
      </c>
      <c r="C53" s="5">
        <v>45337</v>
      </c>
      <c r="D53" s="4">
        <v>120000</v>
      </c>
      <c r="E53" t="s">
        <v>248</v>
      </c>
      <c r="F53" t="s">
        <v>249</v>
      </c>
    </row>
    <row r="54" spans="1:6" x14ac:dyDescent="0.25">
      <c r="A54" t="s">
        <v>304</v>
      </c>
      <c r="B54" t="s">
        <v>134</v>
      </c>
      <c r="C54" s="5">
        <v>45417</v>
      </c>
      <c r="D54" s="4">
        <v>45000</v>
      </c>
      <c r="E54" t="s">
        <v>255</v>
      </c>
      <c r="F54" t="s">
        <v>249</v>
      </c>
    </row>
    <row r="55" spans="1:6" x14ac:dyDescent="0.25">
      <c r="A55" t="s">
        <v>305</v>
      </c>
      <c r="B55" t="s">
        <v>136</v>
      </c>
      <c r="C55" s="5">
        <v>45358</v>
      </c>
      <c r="D55" s="4">
        <v>50000</v>
      </c>
      <c r="E55" t="s">
        <v>251</v>
      </c>
      <c r="F55" t="s">
        <v>252</v>
      </c>
    </row>
    <row r="56" spans="1:6" x14ac:dyDescent="0.25">
      <c r="A56" t="s">
        <v>306</v>
      </c>
      <c r="B56" t="s">
        <v>138</v>
      </c>
      <c r="C56" s="5">
        <v>45421</v>
      </c>
      <c r="D56" s="4">
        <v>120000</v>
      </c>
      <c r="E56" t="s">
        <v>255</v>
      </c>
      <c r="F56" t="s">
        <v>249</v>
      </c>
    </row>
    <row r="57" spans="1:6" x14ac:dyDescent="0.25">
      <c r="A57" t="s">
        <v>307</v>
      </c>
      <c r="B57" t="s">
        <v>140</v>
      </c>
      <c r="C57" s="5">
        <v>45306</v>
      </c>
      <c r="D57" s="4">
        <v>120000</v>
      </c>
      <c r="E57" t="s">
        <v>255</v>
      </c>
      <c r="F57" t="s">
        <v>252</v>
      </c>
    </row>
    <row r="58" spans="1:6" x14ac:dyDescent="0.25">
      <c r="A58" t="s">
        <v>308</v>
      </c>
      <c r="B58" t="s">
        <v>142</v>
      </c>
      <c r="C58" s="5">
        <v>45403</v>
      </c>
      <c r="D58" s="4">
        <v>120000</v>
      </c>
      <c r="E58" t="s">
        <v>248</v>
      </c>
      <c r="F58" t="s">
        <v>252</v>
      </c>
    </row>
    <row r="59" spans="1:6" x14ac:dyDescent="0.25">
      <c r="A59" t="s">
        <v>309</v>
      </c>
      <c r="B59" t="s">
        <v>144</v>
      </c>
      <c r="C59" s="5">
        <v>45311</v>
      </c>
      <c r="D59" s="4">
        <v>120000</v>
      </c>
      <c r="E59" t="s">
        <v>248</v>
      </c>
      <c r="F59" t="s">
        <v>249</v>
      </c>
    </row>
    <row r="60" spans="1:6" x14ac:dyDescent="0.25">
      <c r="A60" t="s">
        <v>310</v>
      </c>
      <c r="B60" t="s">
        <v>146</v>
      </c>
      <c r="C60" s="5">
        <v>45336</v>
      </c>
      <c r="D60" s="4">
        <v>45000</v>
      </c>
      <c r="E60" t="s">
        <v>248</v>
      </c>
      <c r="F60" t="s">
        <v>249</v>
      </c>
    </row>
    <row r="61" spans="1:6" x14ac:dyDescent="0.25">
      <c r="A61" t="s">
        <v>311</v>
      </c>
      <c r="B61" t="s">
        <v>148</v>
      </c>
      <c r="C61" s="5">
        <v>45388</v>
      </c>
      <c r="D61" s="4">
        <v>45000</v>
      </c>
      <c r="E61" t="s">
        <v>255</v>
      </c>
      <c r="F61" t="s">
        <v>249</v>
      </c>
    </row>
    <row r="62" spans="1:6" x14ac:dyDescent="0.25">
      <c r="A62" t="s">
        <v>312</v>
      </c>
      <c r="B62" t="s">
        <v>150</v>
      </c>
      <c r="C62" s="5">
        <v>45322</v>
      </c>
      <c r="D62" s="4">
        <v>75000</v>
      </c>
      <c r="E62" t="s">
        <v>251</v>
      </c>
      <c r="F62" t="s">
        <v>252</v>
      </c>
    </row>
    <row r="63" spans="1:6" x14ac:dyDescent="0.25">
      <c r="A63" t="s">
        <v>313</v>
      </c>
      <c r="B63" t="s">
        <v>152</v>
      </c>
      <c r="C63" s="5">
        <v>45335</v>
      </c>
      <c r="D63" s="4">
        <v>50000</v>
      </c>
      <c r="E63" t="s">
        <v>255</v>
      </c>
      <c r="F63" t="s">
        <v>249</v>
      </c>
    </row>
    <row r="64" spans="1:6" x14ac:dyDescent="0.25">
      <c r="A64" t="s">
        <v>314</v>
      </c>
      <c r="B64" t="s">
        <v>154</v>
      </c>
      <c r="C64" s="5">
        <v>45409</v>
      </c>
      <c r="D64" s="4">
        <v>120000</v>
      </c>
      <c r="E64" t="s">
        <v>251</v>
      </c>
      <c r="F64" t="s">
        <v>252</v>
      </c>
    </row>
    <row r="65" spans="1:6" x14ac:dyDescent="0.25">
      <c r="A65" t="s">
        <v>315</v>
      </c>
      <c r="B65" t="s">
        <v>156</v>
      </c>
      <c r="C65" s="5">
        <v>45346</v>
      </c>
      <c r="D65" s="4">
        <v>50000</v>
      </c>
      <c r="E65" t="s">
        <v>255</v>
      </c>
      <c r="F65" t="s">
        <v>252</v>
      </c>
    </row>
    <row r="66" spans="1:6" x14ac:dyDescent="0.25">
      <c r="A66" t="s">
        <v>316</v>
      </c>
      <c r="B66" t="s">
        <v>158</v>
      </c>
      <c r="C66" s="5">
        <v>45427</v>
      </c>
      <c r="D66" s="4">
        <v>45000</v>
      </c>
      <c r="E66" t="s">
        <v>255</v>
      </c>
      <c r="F66" t="s">
        <v>249</v>
      </c>
    </row>
    <row r="67" spans="1:6" x14ac:dyDescent="0.25">
      <c r="A67" t="s">
        <v>317</v>
      </c>
      <c r="B67" t="s">
        <v>160</v>
      </c>
      <c r="C67" s="5">
        <v>45363</v>
      </c>
      <c r="D67" s="4">
        <v>75000</v>
      </c>
      <c r="E67" t="s">
        <v>248</v>
      </c>
      <c r="F67" t="s">
        <v>249</v>
      </c>
    </row>
    <row r="68" spans="1:6" x14ac:dyDescent="0.25">
      <c r="A68" t="s">
        <v>318</v>
      </c>
      <c r="B68" t="s">
        <v>162</v>
      </c>
      <c r="C68" s="5">
        <v>45394</v>
      </c>
      <c r="D68" s="4">
        <v>75000</v>
      </c>
      <c r="E68" t="s">
        <v>251</v>
      </c>
      <c r="F68" t="s">
        <v>249</v>
      </c>
    </row>
    <row r="69" spans="1:6" x14ac:dyDescent="0.25">
      <c r="A69" t="s">
        <v>319</v>
      </c>
      <c r="B69" t="s">
        <v>164</v>
      </c>
      <c r="C69" s="5">
        <v>45313</v>
      </c>
      <c r="D69" s="4">
        <v>75000</v>
      </c>
      <c r="E69" t="s">
        <v>255</v>
      </c>
      <c r="F69" t="s">
        <v>252</v>
      </c>
    </row>
    <row r="70" spans="1:6" x14ac:dyDescent="0.25">
      <c r="A70" t="s">
        <v>320</v>
      </c>
      <c r="B70" t="s">
        <v>166</v>
      </c>
      <c r="C70" s="5">
        <v>45329</v>
      </c>
      <c r="D70" s="4">
        <v>120000</v>
      </c>
      <c r="E70" t="s">
        <v>251</v>
      </c>
      <c r="F70" t="s">
        <v>252</v>
      </c>
    </row>
    <row r="71" spans="1:6" x14ac:dyDescent="0.25">
      <c r="A71" t="s">
        <v>321</v>
      </c>
      <c r="B71" t="s">
        <v>168</v>
      </c>
      <c r="C71" s="5">
        <v>45430</v>
      </c>
      <c r="D71" s="4">
        <v>120000</v>
      </c>
      <c r="E71" t="s">
        <v>248</v>
      </c>
      <c r="F71" t="s">
        <v>249</v>
      </c>
    </row>
    <row r="72" spans="1:6" x14ac:dyDescent="0.25">
      <c r="A72" t="s">
        <v>322</v>
      </c>
      <c r="B72" t="s">
        <v>170</v>
      </c>
      <c r="C72" s="5">
        <v>45410</v>
      </c>
      <c r="D72" s="4">
        <v>75000</v>
      </c>
      <c r="E72" t="s">
        <v>248</v>
      </c>
      <c r="F72" t="s">
        <v>249</v>
      </c>
    </row>
    <row r="73" spans="1:6" x14ac:dyDescent="0.25">
      <c r="A73" t="s">
        <v>323</v>
      </c>
      <c r="B73" t="s">
        <v>172</v>
      </c>
      <c r="C73" s="5">
        <v>45321</v>
      </c>
      <c r="D73" s="4">
        <v>120000</v>
      </c>
      <c r="E73" t="s">
        <v>251</v>
      </c>
      <c r="F73" t="s">
        <v>249</v>
      </c>
    </row>
    <row r="74" spans="1:6" x14ac:dyDescent="0.25">
      <c r="A74" t="s">
        <v>324</v>
      </c>
      <c r="B74" t="s">
        <v>174</v>
      </c>
      <c r="C74" s="5">
        <v>45379</v>
      </c>
      <c r="D74" s="4">
        <v>75000</v>
      </c>
      <c r="E74" t="s">
        <v>251</v>
      </c>
      <c r="F74" t="s">
        <v>249</v>
      </c>
    </row>
    <row r="75" spans="1:6" x14ac:dyDescent="0.25">
      <c r="A75" t="s">
        <v>325</v>
      </c>
      <c r="B75" t="s">
        <v>176</v>
      </c>
      <c r="C75" s="5">
        <v>45394</v>
      </c>
      <c r="D75" s="4">
        <v>45000</v>
      </c>
      <c r="E75" t="s">
        <v>251</v>
      </c>
      <c r="F75" t="s">
        <v>252</v>
      </c>
    </row>
    <row r="76" spans="1:6" x14ac:dyDescent="0.25">
      <c r="A76" t="s">
        <v>326</v>
      </c>
      <c r="B76" t="s">
        <v>178</v>
      </c>
      <c r="C76" s="5">
        <v>45375</v>
      </c>
      <c r="D76" s="4">
        <v>50000</v>
      </c>
      <c r="E76" t="s">
        <v>248</v>
      </c>
      <c r="F76" t="s">
        <v>249</v>
      </c>
    </row>
    <row r="77" spans="1:6" x14ac:dyDescent="0.25">
      <c r="A77" t="s">
        <v>327</v>
      </c>
      <c r="B77" t="s">
        <v>180</v>
      </c>
      <c r="C77" s="5">
        <v>45418</v>
      </c>
      <c r="D77" s="4">
        <v>120000</v>
      </c>
      <c r="E77" t="s">
        <v>248</v>
      </c>
      <c r="F77" t="s">
        <v>249</v>
      </c>
    </row>
    <row r="78" spans="1:6" x14ac:dyDescent="0.25">
      <c r="A78" t="s">
        <v>328</v>
      </c>
      <c r="B78" t="s">
        <v>182</v>
      </c>
      <c r="C78" s="5">
        <v>45423</v>
      </c>
      <c r="D78" s="4">
        <v>120000</v>
      </c>
      <c r="E78" t="s">
        <v>255</v>
      </c>
      <c r="F78" t="s">
        <v>252</v>
      </c>
    </row>
    <row r="79" spans="1:6" x14ac:dyDescent="0.25">
      <c r="A79" t="s">
        <v>329</v>
      </c>
      <c r="B79" t="s">
        <v>184</v>
      </c>
      <c r="C79" s="5">
        <v>45372</v>
      </c>
      <c r="D79" s="4">
        <v>45000</v>
      </c>
      <c r="E79" t="s">
        <v>255</v>
      </c>
      <c r="F79" t="s">
        <v>249</v>
      </c>
    </row>
    <row r="80" spans="1:6" x14ac:dyDescent="0.25">
      <c r="A80" t="s">
        <v>330</v>
      </c>
      <c r="B80" t="s">
        <v>186</v>
      </c>
      <c r="C80" s="5">
        <v>45426</v>
      </c>
      <c r="D80" s="4">
        <v>75000</v>
      </c>
      <c r="E80" t="s">
        <v>251</v>
      </c>
      <c r="F80" t="s">
        <v>252</v>
      </c>
    </row>
    <row r="81" spans="1:6" x14ac:dyDescent="0.25">
      <c r="A81" t="s">
        <v>331</v>
      </c>
      <c r="B81" t="s">
        <v>188</v>
      </c>
      <c r="C81" s="5">
        <v>45356</v>
      </c>
      <c r="D81" s="4">
        <v>50000</v>
      </c>
      <c r="E81" t="s">
        <v>248</v>
      </c>
      <c r="F81" t="s">
        <v>252</v>
      </c>
    </row>
    <row r="82" spans="1:6" x14ac:dyDescent="0.25">
      <c r="A82" t="s">
        <v>332</v>
      </c>
      <c r="B82" t="s">
        <v>190</v>
      </c>
      <c r="C82" s="5">
        <v>45297</v>
      </c>
      <c r="D82" s="4">
        <v>50000</v>
      </c>
      <c r="E82" t="s">
        <v>255</v>
      </c>
      <c r="F82" t="s">
        <v>249</v>
      </c>
    </row>
    <row r="83" spans="1:6" x14ac:dyDescent="0.25">
      <c r="A83" t="s">
        <v>333</v>
      </c>
      <c r="B83" t="s">
        <v>192</v>
      </c>
      <c r="C83" s="5">
        <v>45369</v>
      </c>
      <c r="D83" s="4">
        <v>45000</v>
      </c>
      <c r="E83" t="s">
        <v>251</v>
      </c>
      <c r="F83" t="s">
        <v>252</v>
      </c>
    </row>
    <row r="84" spans="1:6" x14ac:dyDescent="0.25">
      <c r="A84" t="s">
        <v>334</v>
      </c>
      <c r="B84" t="s">
        <v>194</v>
      </c>
      <c r="C84" s="5">
        <v>45341</v>
      </c>
      <c r="D84" s="4">
        <v>120000</v>
      </c>
      <c r="E84" t="s">
        <v>255</v>
      </c>
      <c r="F84" t="s">
        <v>252</v>
      </c>
    </row>
    <row r="85" spans="1:6" x14ac:dyDescent="0.25">
      <c r="A85" t="s">
        <v>335</v>
      </c>
      <c r="B85" t="s">
        <v>196</v>
      </c>
      <c r="C85" s="5">
        <v>45329</v>
      </c>
      <c r="D85" s="4">
        <v>120000</v>
      </c>
      <c r="E85" t="s">
        <v>255</v>
      </c>
      <c r="F85" t="s">
        <v>249</v>
      </c>
    </row>
    <row r="86" spans="1:6" x14ac:dyDescent="0.25">
      <c r="A86" t="s">
        <v>336</v>
      </c>
      <c r="B86" t="s">
        <v>198</v>
      </c>
      <c r="C86" s="5">
        <v>45396</v>
      </c>
      <c r="D86" s="4">
        <v>45000</v>
      </c>
      <c r="E86" t="s">
        <v>248</v>
      </c>
      <c r="F86" t="s">
        <v>249</v>
      </c>
    </row>
    <row r="87" spans="1:6" x14ac:dyDescent="0.25">
      <c r="A87" t="s">
        <v>337</v>
      </c>
      <c r="B87" t="s">
        <v>200</v>
      </c>
      <c r="C87" s="5">
        <v>45367</v>
      </c>
      <c r="D87" s="4">
        <v>75000</v>
      </c>
      <c r="E87" t="s">
        <v>255</v>
      </c>
      <c r="F87" t="s">
        <v>252</v>
      </c>
    </row>
    <row r="88" spans="1:6" x14ac:dyDescent="0.25">
      <c r="A88" t="s">
        <v>338</v>
      </c>
      <c r="B88" t="s">
        <v>202</v>
      </c>
      <c r="C88" s="5">
        <v>45304</v>
      </c>
      <c r="D88" s="4">
        <v>45000</v>
      </c>
      <c r="E88" t="s">
        <v>248</v>
      </c>
      <c r="F88" t="s">
        <v>252</v>
      </c>
    </row>
    <row r="89" spans="1:6" x14ac:dyDescent="0.25">
      <c r="A89" t="s">
        <v>339</v>
      </c>
      <c r="B89" t="s">
        <v>204</v>
      </c>
      <c r="C89" s="5">
        <v>45371</v>
      </c>
      <c r="D89" s="4">
        <v>120000</v>
      </c>
      <c r="E89" t="s">
        <v>248</v>
      </c>
      <c r="F89" t="s">
        <v>252</v>
      </c>
    </row>
    <row r="90" spans="1:6" x14ac:dyDescent="0.25">
      <c r="A90" t="s">
        <v>340</v>
      </c>
      <c r="B90" t="s">
        <v>206</v>
      </c>
      <c r="C90" s="5">
        <v>45394</v>
      </c>
      <c r="D90" s="4">
        <v>120000</v>
      </c>
      <c r="E90" t="s">
        <v>248</v>
      </c>
      <c r="F90" t="s">
        <v>249</v>
      </c>
    </row>
    <row r="91" spans="1:6" x14ac:dyDescent="0.25">
      <c r="A91" t="s">
        <v>341</v>
      </c>
      <c r="B91" t="s">
        <v>208</v>
      </c>
      <c r="C91" s="5">
        <v>45430</v>
      </c>
      <c r="D91" s="4">
        <v>75000</v>
      </c>
      <c r="E91" t="s">
        <v>251</v>
      </c>
      <c r="F91" t="s">
        <v>249</v>
      </c>
    </row>
    <row r="92" spans="1:6" x14ac:dyDescent="0.25">
      <c r="A92" t="s">
        <v>342</v>
      </c>
      <c r="B92" t="s">
        <v>210</v>
      </c>
      <c r="C92" s="5">
        <v>45399</v>
      </c>
      <c r="D92" s="4">
        <v>45000</v>
      </c>
      <c r="E92" t="s">
        <v>251</v>
      </c>
      <c r="F92" t="s">
        <v>249</v>
      </c>
    </row>
    <row r="93" spans="1:6" x14ac:dyDescent="0.25">
      <c r="A93" t="s">
        <v>343</v>
      </c>
      <c r="B93" t="s">
        <v>212</v>
      </c>
      <c r="C93" s="5">
        <v>45425</v>
      </c>
      <c r="D93" s="4">
        <v>75000</v>
      </c>
      <c r="E93" t="s">
        <v>255</v>
      </c>
      <c r="F93" t="s">
        <v>249</v>
      </c>
    </row>
    <row r="94" spans="1:6" x14ac:dyDescent="0.25">
      <c r="A94" t="s">
        <v>344</v>
      </c>
      <c r="B94" t="s">
        <v>214</v>
      </c>
      <c r="C94" s="5">
        <v>45406</v>
      </c>
      <c r="D94" s="4">
        <v>45000</v>
      </c>
      <c r="E94" t="s">
        <v>255</v>
      </c>
      <c r="F94" t="s">
        <v>249</v>
      </c>
    </row>
    <row r="95" spans="1:6" x14ac:dyDescent="0.25">
      <c r="A95" t="s">
        <v>345</v>
      </c>
      <c r="B95" t="s">
        <v>216</v>
      </c>
      <c r="C95" s="5">
        <v>45349</v>
      </c>
      <c r="D95" s="4">
        <v>75000</v>
      </c>
      <c r="E95" t="s">
        <v>248</v>
      </c>
      <c r="F95" t="s">
        <v>249</v>
      </c>
    </row>
    <row r="96" spans="1:6" x14ac:dyDescent="0.25">
      <c r="A96" t="s">
        <v>346</v>
      </c>
      <c r="B96" t="s">
        <v>218</v>
      </c>
      <c r="C96" s="5">
        <v>45356</v>
      </c>
      <c r="D96" s="4">
        <v>120000</v>
      </c>
      <c r="E96" t="s">
        <v>255</v>
      </c>
      <c r="F96" t="s">
        <v>252</v>
      </c>
    </row>
    <row r="97" spans="1:6" x14ac:dyDescent="0.25">
      <c r="A97" t="s">
        <v>347</v>
      </c>
      <c r="B97" t="s">
        <v>220</v>
      </c>
      <c r="C97" s="5">
        <v>45411</v>
      </c>
      <c r="D97" s="4">
        <v>120000</v>
      </c>
      <c r="E97" t="s">
        <v>251</v>
      </c>
      <c r="F97" t="s">
        <v>249</v>
      </c>
    </row>
    <row r="98" spans="1:6" x14ac:dyDescent="0.25">
      <c r="A98" t="s">
        <v>348</v>
      </c>
      <c r="B98" t="s">
        <v>222</v>
      </c>
      <c r="C98" s="5">
        <v>45411</v>
      </c>
      <c r="D98" s="4">
        <v>120000</v>
      </c>
      <c r="E98" t="s">
        <v>248</v>
      </c>
      <c r="F98" t="s">
        <v>249</v>
      </c>
    </row>
    <row r="99" spans="1:6" x14ac:dyDescent="0.25">
      <c r="A99" t="s">
        <v>349</v>
      </c>
      <c r="B99" t="s">
        <v>224</v>
      </c>
      <c r="C99" s="5">
        <v>45369</v>
      </c>
      <c r="D99" s="4">
        <v>120000</v>
      </c>
      <c r="E99" t="s">
        <v>255</v>
      </c>
      <c r="F99" t="s">
        <v>252</v>
      </c>
    </row>
    <row r="100" spans="1:6" x14ac:dyDescent="0.25">
      <c r="A100" t="s">
        <v>350</v>
      </c>
      <c r="B100" t="s">
        <v>226</v>
      </c>
      <c r="C100" s="5">
        <v>45420</v>
      </c>
      <c r="D100" s="4">
        <v>50000</v>
      </c>
      <c r="E100" t="s">
        <v>248</v>
      </c>
      <c r="F100" t="s">
        <v>252</v>
      </c>
    </row>
    <row r="101" spans="1:6" x14ac:dyDescent="0.25">
      <c r="A101" t="s">
        <v>351</v>
      </c>
      <c r="B101" t="s">
        <v>228</v>
      </c>
      <c r="C101" s="5">
        <v>45351</v>
      </c>
      <c r="D101" s="4">
        <v>50000</v>
      </c>
      <c r="E101" t="s">
        <v>255</v>
      </c>
      <c r="F101" t="s">
        <v>249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>
      <selection activeCell="H3" sqref="H3"/>
    </sheetView>
  </sheetViews>
  <sheetFormatPr defaultRowHeight="15" x14ac:dyDescent="0.25"/>
  <cols>
    <col min="1" max="1" width="10.28515625" bestFit="1" customWidth="1"/>
    <col min="2" max="2" width="14.85546875" style="4" bestFit="1" customWidth="1"/>
    <col min="3" max="3" width="14.42578125" bestFit="1" customWidth="1"/>
    <col min="4" max="4" width="10.5703125" bestFit="1" customWidth="1"/>
    <col min="5" max="5" width="17.5703125" bestFit="1" customWidth="1"/>
    <col min="6" max="6" width="21.5703125" bestFit="1" customWidth="1"/>
  </cols>
  <sheetData>
    <row r="1" spans="1:6" x14ac:dyDescent="0.25">
      <c r="A1" t="s">
        <v>352</v>
      </c>
      <c r="B1" s="4" t="s">
        <v>353</v>
      </c>
      <c r="C1" t="s">
        <v>6</v>
      </c>
      <c r="D1" t="s">
        <v>4</v>
      </c>
      <c r="E1" t="s">
        <v>354</v>
      </c>
      <c r="F1" t="s">
        <v>355</v>
      </c>
    </row>
    <row r="2" spans="1:6" x14ac:dyDescent="0.25">
      <c r="A2" t="s">
        <v>356</v>
      </c>
      <c r="B2" s="5">
        <v>45321</v>
      </c>
      <c r="C2" t="s">
        <v>33</v>
      </c>
      <c r="D2" t="s">
        <v>32</v>
      </c>
      <c r="E2" t="s">
        <v>20</v>
      </c>
      <c r="F2" t="s">
        <v>15</v>
      </c>
    </row>
    <row r="3" spans="1:6" x14ac:dyDescent="0.25">
      <c r="A3" t="s">
        <v>357</v>
      </c>
      <c r="B3" s="5">
        <v>45304</v>
      </c>
      <c r="C3" t="s">
        <v>43</v>
      </c>
      <c r="D3" t="s">
        <v>54</v>
      </c>
      <c r="E3" t="s">
        <v>36</v>
      </c>
      <c r="F3" t="s">
        <v>26</v>
      </c>
    </row>
    <row r="4" spans="1:6" x14ac:dyDescent="0.25">
      <c r="A4" t="s">
        <v>358</v>
      </c>
      <c r="B4" s="5">
        <v>45300</v>
      </c>
      <c r="C4" t="s">
        <v>21</v>
      </c>
      <c r="D4" t="s">
        <v>19</v>
      </c>
      <c r="E4" t="s">
        <v>20</v>
      </c>
      <c r="F4" t="s">
        <v>29</v>
      </c>
    </row>
    <row r="5" spans="1:6" x14ac:dyDescent="0.25">
      <c r="A5" t="s">
        <v>359</v>
      </c>
      <c r="B5" s="5">
        <v>45297</v>
      </c>
      <c r="C5" t="s">
        <v>43</v>
      </c>
      <c r="D5" t="s">
        <v>12</v>
      </c>
      <c r="E5" t="s">
        <v>36</v>
      </c>
      <c r="F5" t="s">
        <v>29</v>
      </c>
    </row>
    <row r="6" spans="1:6" x14ac:dyDescent="0.25">
      <c r="A6" t="s">
        <v>360</v>
      </c>
      <c r="B6" s="5">
        <v>45360</v>
      </c>
      <c r="C6" t="s">
        <v>43</v>
      </c>
      <c r="D6" t="s">
        <v>40</v>
      </c>
      <c r="E6" t="s">
        <v>67</v>
      </c>
      <c r="F6" t="s">
        <v>26</v>
      </c>
    </row>
    <row r="7" spans="1:6" x14ac:dyDescent="0.25">
      <c r="A7" t="s">
        <v>361</v>
      </c>
      <c r="B7" s="5">
        <v>45381</v>
      </c>
      <c r="C7" t="s">
        <v>33</v>
      </c>
      <c r="D7" t="s">
        <v>12</v>
      </c>
      <c r="E7" t="s">
        <v>36</v>
      </c>
      <c r="F7" t="s">
        <v>15</v>
      </c>
    </row>
    <row r="8" spans="1:6" x14ac:dyDescent="0.25">
      <c r="A8" t="s">
        <v>362</v>
      </c>
      <c r="B8" s="5">
        <v>45361</v>
      </c>
      <c r="C8" t="s">
        <v>43</v>
      </c>
      <c r="D8" t="s">
        <v>40</v>
      </c>
      <c r="E8" t="s">
        <v>36</v>
      </c>
      <c r="F8" t="s">
        <v>22</v>
      </c>
    </row>
    <row r="9" spans="1:6" x14ac:dyDescent="0.25">
      <c r="A9" t="s">
        <v>363</v>
      </c>
      <c r="B9" s="5">
        <v>45357</v>
      </c>
      <c r="C9" t="s">
        <v>14</v>
      </c>
      <c r="D9" t="s">
        <v>19</v>
      </c>
      <c r="E9" t="s">
        <v>36</v>
      </c>
      <c r="F9" t="s">
        <v>22</v>
      </c>
    </row>
    <row r="10" spans="1:6" x14ac:dyDescent="0.25">
      <c r="A10" t="s">
        <v>364</v>
      </c>
      <c r="B10" s="5">
        <v>45326</v>
      </c>
      <c r="C10" t="s">
        <v>21</v>
      </c>
      <c r="D10" t="s">
        <v>19</v>
      </c>
      <c r="E10" t="s">
        <v>13</v>
      </c>
      <c r="F10" t="s">
        <v>15</v>
      </c>
    </row>
    <row r="11" spans="1:6" x14ac:dyDescent="0.25">
      <c r="A11" t="s">
        <v>365</v>
      </c>
      <c r="B11" s="5">
        <v>45326</v>
      </c>
      <c r="C11" t="s">
        <v>43</v>
      </c>
      <c r="D11" t="s">
        <v>25</v>
      </c>
      <c r="E11" t="s">
        <v>20</v>
      </c>
      <c r="F11" t="s">
        <v>22</v>
      </c>
    </row>
    <row r="12" spans="1:6" x14ac:dyDescent="0.25">
      <c r="A12" t="s">
        <v>366</v>
      </c>
      <c r="B12" s="5">
        <v>45318</v>
      </c>
      <c r="C12" t="s">
        <v>14</v>
      </c>
      <c r="D12" t="s">
        <v>19</v>
      </c>
      <c r="E12" t="s">
        <v>20</v>
      </c>
      <c r="F12" t="s">
        <v>37</v>
      </c>
    </row>
    <row r="13" spans="1:6" x14ac:dyDescent="0.25">
      <c r="A13" t="s">
        <v>367</v>
      </c>
      <c r="B13" s="5">
        <v>45376</v>
      </c>
      <c r="C13" t="s">
        <v>14</v>
      </c>
      <c r="D13" t="s">
        <v>32</v>
      </c>
      <c r="E13" t="s">
        <v>20</v>
      </c>
      <c r="F13" t="s">
        <v>26</v>
      </c>
    </row>
    <row r="14" spans="1:6" x14ac:dyDescent="0.25">
      <c r="A14" t="s">
        <v>368</v>
      </c>
      <c r="B14" s="5">
        <v>45347</v>
      </c>
      <c r="C14" t="s">
        <v>33</v>
      </c>
      <c r="D14" t="s">
        <v>40</v>
      </c>
      <c r="E14" t="s">
        <v>67</v>
      </c>
      <c r="F14" t="s">
        <v>37</v>
      </c>
    </row>
    <row r="15" spans="1:6" x14ac:dyDescent="0.25">
      <c r="A15" t="s">
        <v>369</v>
      </c>
      <c r="B15" s="5">
        <v>45322</v>
      </c>
      <c r="C15" t="s">
        <v>43</v>
      </c>
      <c r="D15" t="s">
        <v>19</v>
      </c>
      <c r="E15" t="s">
        <v>20</v>
      </c>
      <c r="F15" t="s">
        <v>26</v>
      </c>
    </row>
    <row r="16" spans="1:6" x14ac:dyDescent="0.25">
      <c r="A16" t="s">
        <v>370</v>
      </c>
      <c r="B16" s="5">
        <v>45376</v>
      </c>
      <c r="C16" t="s">
        <v>33</v>
      </c>
      <c r="D16" t="s">
        <v>54</v>
      </c>
      <c r="E16" t="s">
        <v>36</v>
      </c>
      <c r="F16" t="s">
        <v>15</v>
      </c>
    </row>
    <row r="17" spans="1:6" x14ac:dyDescent="0.25">
      <c r="A17" t="s">
        <v>371</v>
      </c>
      <c r="B17" s="5">
        <v>45311</v>
      </c>
      <c r="C17" t="s">
        <v>21</v>
      </c>
      <c r="D17" t="s">
        <v>32</v>
      </c>
      <c r="E17" t="s">
        <v>20</v>
      </c>
      <c r="F17" t="s">
        <v>15</v>
      </c>
    </row>
    <row r="18" spans="1:6" x14ac:dyDescent="0.25">
      <c r="A18" t="s">
        <v>372</v>
      </c>
      <c r="B18" s="5">
        <v>45347</v>
      </c>
      <c r="C18" t="s">
        <v>14</v>
      </c>
      <c r="D18" t="s">
        <v>25</v>
      </c>
      <c r="E18" t="s">
        <v>67</v>
      </c>
      <c r="F18" t="s">
        <v>26</v>
      </c>
    </row>
    <row r="19" spans="1:6" x14ac:dyDescent="0.25">
      <c r="A19" t="s">
        <v>373</v>
      </c>
      <c r="B19" s="5">
        <v>45367</v>
      </c>
      <c r="C19" t="s">
        <v>21</v>
      </c>
      <c r="D19" t="s">
        <v>40</v>
      </c>
      <c r="E19" t="s">
        <v>20</v>
      </c>
      <c r="F19" t="s">
        <v>29</v>
      </c>
    </row>
    <row r="20" spans="1:6" x14ac:dyDescent="0.25">
      <c r="A20" t="s">
        <v>374</v>
      </c>
      <c r="B20" s="5">
        <v>45369</v>
      </c>
      <c r="C20" t="s">
        <v>43</v>
      </c>
      <c r="D20" t="s">
        <v>25</v>
      </c>
      <c r="E20" t="s">
        <v>20</v>
      </c>
      <c r="F20" t="s">
        <v>26</v>
      </c>
    </row>
    <row r="21" spans="1:6" x14ac:dyDescent="0.25">
      <c r="A21" t="s">
        <v>375</v>
      </c>
      <c r="B21" s="5">
        <v>45334</v>
      </c>
      <c r="C21" t="s">
        <v>21</v>
      </c>
      <c r="D21" t="s">
        <v>12</v>
      </c>
      <c r="E21" t="s">
        <v>20</v>
      </c>
      <c r="F21" t="s">
        <v>15</v>
      </c>
    </row>
    <row r="22" spans="1:6" x14ac:dyDescent="0.25">
      <c r="A22" t="s">
        <v>376</v>
      </c>
      <c r="B22" s="5">
        <v>45305</v>
      </c>
      <c r="C22" t="s">
        <v>43</v>
      </c>
      <c r="D22" t="s">
        <v>54</v>
      </c>
      <c r="E22" t="s">
        <v>67</v>
      </c>
      <c r="F22" t="s">
        <v>26</v>
      </c>
    </row>
    <row r="23" spans="1:6" x14ac:dyDescent="0.25">
      <c r="A23" t="s">
        <v>377</v>
      </c>
      <c r="B23" s="5">
        <v>45296</v>
      </c>
      <c r="C23" t="s">
        <v>33</v>
      </c>
      <c r="D23" t="s">
        <v>32</v>
      </c>
      <c r="E23" t="s">
        <v>67</v>
      </c>
      <c r="F23" t="s">
        <v>29</v>
      </c>
    </row>
    <row r="24" spans="1:6" x14ac:dyDescent="0.25">
      <c r="A24" t="s">
        <v>378</v>
      </c>
      <c r="B24" s="5">
        <v>45373</v>
      </c>
      <c r="C24" t="s">
        <v>43</v>
      </c>
      <c r="D24" t="s">
        <v>19</v>
      </c>
      <c r="E24" t="s">
        <v>13</v>
      </c>
      <c r="F24" t="s">
        <v>22</v>
      </c>
    </row>
    <row r="25" spans="1:6" x14ac:dyDescent="0.25">
      <c r="A25" t="s">
        <v>379</v>
      </c>
      <c r="B25" s="5">
        <v>45358</v>
      </c>
      <c r="C25" t="s">
        <v>43</v>
      </c>
      <c r="D25" t="s">
        <v>40</v>
      </c>
      <c r="E25" t="s">
        <v>67</v>
      </c>
      <c r="F25" t="s">
        <v>22</v>
      </c>
    </row>
    <row r="26" spans="1:6" x14ac:dyDescent="0.25">
      <c r="A26" t="s">
        <v>380</v>
      </c>
      <c r="B26" s="5">
        <v>45368</v>
      </c>
      <c r="C26" t="s">
        <v>21</v>
      </c>
      <c r="D26" t="s">
        <v>25</v>
      </c>
      <c r="E26" t="s">
        <v>13</v>
      </c>
      <c r="F26" t="s">
        <v>26</v>
      </c>
    </row>
    <row r="27" spans="1:6" x14ac:dyDescent="0.25">
      <c r="A27" t="s">
        <v>381</v>
      </c>
      <c r="B27" s="5">
        <v>45326</v>
      </c>
      <c r="C27" t="s">
        <v>21</v>
      </c>
      <c r="D27" t="s">
        <v>40</v>
      </c>
      <c r="E27" t="s">
        <v>13</v>
      </c>
      <c r="F27" t="s">
        <v>22</v>
      </c>
    </row>
    <row r="28" spans="1:6" x14ac:dyDescent="0.25">
      <c r="A28" t="s">
        <v>382</v>
      </c>
      <c r="B28" s="5">
        <v>45305</v>
      </c>
      <c r="C28" t="s">
        <v>14</v>
      </c>
      <c r="D28" t="s">
        <v>25</v>
      </c>
      <c r="E28" t="s">
        <v>13</v>
      </c>
      <c r="F28" t="s">
        <v>15</v>
      </c>
    </row>
    <row r="29" spans="1:6" x14ac:dyDescent="0.25">
      <c r="A29" t="s">
        <v>383</v>
      </c>
      <c r="B29" s="5">
        <v>45381</v>
      </c>
      <c r="C29" t="s">
        <v>21</v>
      </c>
      <c r="D29" t="s">
        <v>40</v>
      </c>
      <c r="E29" t="s">
        <v>36</v>
      </c>
      <c r="F29" t="s">
        <v>29</v>
      </c>
    </row>
    <row r="30" spans="1:6" x14ac:dyDescent="0.25">
      <c r="A30" t="s">
        <v>384</v>
      </c>
      <c r="B30" s="5">
        <v>45360</v>
      </c>
      <c r="C30" t="s">
        <v>33</v>
      </c>
      <c r="D30" t="s">
        <v>40</v>
      </c>
      <c r="E30" t="s">
        <v>13</v>
      </c>
      <c r="F30" t="s">
        <v>22</v>
      </c>
    </row>
    <row r="31" spans="1:6" x14ac:dyDescent="0.25">
      <c r="A31" t="s">
        <v>385</v>
      </c>
      <c r="B31" s="5">
        <v>45366</v>
      </c>
      <c r="C31" t="s">
        <v>33</v>
      </c>
      <c r="D31" t="s">
        <v>19</v>
      </c>
      <c r="E31" t="s">
        <v>20</v>
      </c>
      <c r="F31" t="s">
        <v>29</v>
      </c>
    </row>
    <row r="32" spans="1:6" x14ac:dyDescent="0.25">
      <c r="A32" t="s">
        <v>386</v>
      </c>
      <c r="B32" s="5">
        <v>45316</v>
      </c>
      <c r="C32" t="s">
        <v>43</v>
      </c>
      <c r="D32" t="s">
        <v>25</v>
      </c>
      <c r="E32" t="s">
        <v>13</v>
      </c>
      <c r="F32" t="s">
        <v>15</v>
      </c>
    </row>
    <row r="33" spans="1:6" x14ac:dyDescent="0.25">
      <c r="A33" t="s">
        <v>387</v>
      </c>
      <c r="B33" s="5">
        <v>45338</v>
      </c>
      <c r="C33" t="s">
        <v>21</v>
      </c>
      <c r="D33" t="s">
        <v>19</v>
      </c>
      <c r="E33" t="s">
        <v>36</v>
      </c>
      <c r="F33" t="s">
        <v>37</v>
      </c>
    </row>
    <row r="34" spans="1:6" x14ac:dyDescent="0.25">
      <c r="A34" t="s">
        <v>388</v>
      </c>
      <c r="B34" s="5">
        <v>45323</v>
      </c>
      <c r="C34" t="s">
        <v>33</v>
      </c>
      <c r="D34" t="s">
        <v>40</v>
      </c>
      <c r="E34" t="s">
        <v>13</v>
      </c>
      <c r="F34" t="s">
        <v>29</v>
      </c>
    </row>
    <row r="35" spans="1:6" x14ac:dyDescent="0.25">
      <c r="A35" t="s">
        <v>389</v>
      </c>
      <c r="B35" s="5">
        <v>45358</v>
      </c>
      <c r="C35" t="s">
        <v>14</v>
      </c>
      <c r="D35" t="s">
        <v>19</v>
      </c>
      <c r="E35" t="s">
        <v>20</v>
      </c>
      <c r="F35" t="s">
        <v>15</v>
      </c>
    </row>
    <row r="36" spans="1:6" x14ac:dyDescent="0.25">
      <c r="A36" t="s">
        <v>390</v>
      </c>
      <c r="B36" s="5">
        <v>45380</v>
      </c>
      <c r="C36" t="s">
        <v>14</v>
      </c>
      <c r="D36" t="s">
        <v>54</v>
      </c>
      <c r="E36" t="s">
        <v>20</v>
      </c>
      <c r="F36" t="s">
        <v>22</v>
      </c>
    </row>
    <row r="37" spans="1:6" x14ac:dyDescent="0.25">
      <c r="A37" t="s">
        <v>391</v>
      </c>
      <c r="B37" s="5">
        <v>45313</v>
      </c>
      <c r="C37" t="s">
        <v>14</v>
      </c>
      <c r="D37" t="s">
        <v>19</v>
      </c>
      <c r="E37" t="s">
        <v>13</v>
      </c>
      <c r="F37" t="s">
        <v>22</v>
      </c>
    </row>
    <row r="38" spans="1:6" x14ac:dyDescent="0.25">
      <c r="A38" t="s">
        <v>392</v>
      </c>
      <c r="B38" s="5">
        <v>45355</v>
      </c>
      <c r="C38" t="s">
        <v>14</v>
      </c>
      <c r="D38" t="s">
        <v>40</v>
      </c>
      <c r="E38" t="s">
        <v>20</v>
      </c>
      <c r="F38" t="s">
        <v>37</v>
      </c>
    </row>
    <row r="39" spans="1:6" x14ac:dyDescent="0.25">
      <c r="A39" t="s">
        <v>393</v>
      </c>
      <c r="B39" s="5">
        <v>45293</v>
      </c>
      <c r="C39" t="s">
        <v>33</v>
      </c>
      <c r="D39" t="s">
        <v>25</v>
      </c>
      <c r="E39" t="s">
        <v>67</v>
      </c>
      <c r="F39" t="s">
        <v>26</v>
      </c>
    </row>
    <row r="40" spans="1:6" x14ac:dyDescent="0.25">
      <c r="A40" t="s">
        <v>394</v>
      </c>
      <c r="B40" s="5">
        <v>45336</v>
      </c>
      <c r="C40" t="s">
        <v>33</v>
      </c>
      <c r="D40" t="s">
        <v>25</v>
      </c>
      <c r="E40" t="s">
        <v>13</v>
      </c>
      <c r="F40" t="s">
        <v>22</v>
      </c>
    </row>
    <row r="41" spans="1:6" x14ac:dyDescent="0.25">
      <c r="A41" t="s">
        <v>395</v>
      </c>
      <c r="B41" s="5">
        <v>45378</v>
      </c>
      <c r="C41" t="s">
        <v>33</v>
      </c>
      <c r="D41" t="s">
        <v>32</v>
      </c>
      <c r="E41" t="s">
        <v>13</v>
      </c>
      <c r="F41" t="s">
        <v>37</v>
      </c>
    </row>
    <row r="42" spans="1:6" x14ac:dyDescent="0.25">
      <c r="A42" t="s">
        <v>396</v>
      </c>
      <c r="B42" s="5">
        <v>45364</v>
      </c>
      <c r="C42" t="s">
        <v>43</v>
      </c>
      <c r="D42" t="s">
        <v>54</v>
      </c>
      <c r="E42" t="s">
        <v>20</v>
      </c>
      <c r="F42" t="s">
        <v>29</v>
      </c>
    </row>
    <row r="43" spans="1:6" x14ac:dyDescent="0.25">
      <c r="A43" t="s">
        <v>397</v>
      </c>
      <c r="B43" s="5">
        <v>45299</v>
      </c>
      <c r="C43" t="s">
        <v>14</v>
      </c>
      <c r="D43" t="s">
        <v>25</v>
      </c>
      <c r="E43" t="s">
        <v>13</v>
      </c>
      <c r="F43" t="s">
        <v>26</v>
      </c>
    </row>
    <row r="44" spans="1:6" x14ac:dyDescent="0.25">
      <c r="A44" t="s">
        <v>398</v>
      </c>
      <c r="B44" s="5">
        <v>45334</v>
      </c>
      <c r="C44" t="s">
        <v>33</v>
      </c>
      <c r="D44" t="s">
        <v>40</v>
      </c>
      <c r="E44" t="s">
        <v>20</v>
      </c>
      <c r="F44" t="s">
        <v>26</v>
      </c>
    </row>
    <row r="45" spans="1:6" x14ac:dyDescent="0.25">
      <c r="A45" t="s">
        <v>399</v>
      </c>
      <c r="B45" s="5">
        <v>45380</v>
      </c>
      <c r="C45" t="s">
        <v>43</v>
      </c>
      <c r="D45" t="s">
        <v>25</v>
      </c>
      <c r="E45" t="s">
        <v>67</v>
      </c>
      <c r="F45" t="s">
        <v>22</v>
      </c>
    </row>
    <row r="46" spans="1:6" x14ac:dyDescent="0.25">
      <c r="A46" t="s">
        <v>400</v>
      </c>
      <c r="B46" s="5">
        <v>45366</v>
      </c>
      <c r="C46" t="s">
        <v>33</v>
      </c>
      <c r="D46" t="s">
        <v>54</v>
      </c>
      <c r="E46" t="s">
        <v>36</v>
      </c>
      <c r="F46" t="s">
        <v>29</v>
      </c>
    </row>
    <row r="47" spans="1:6" x14ac:dyDescent="0.25">
      <c r="A47" t="s">
        <v>401</v>
      </c>
      <c r="B47" s="5">
        <v>45369</v>
      </c>
      <c r="C47" t="s">
        <v>43</v>
      </c>
      <c r="D47" t="s">
        <v>12</v>
      </c>
      <c r="E47" t="s">
        <v>20</v>
      </c>
      <c r="F47" t="s">
        <v>22</v>
      </c>
    </row>
    <row r="48" spans="1:6" x14ac:dyDescent="0.25">
      <c r="A48" t="s">
        <v>402</v>
      </c>
      <c r="B48" s="5">
        <v>45378</v>
      </c>
      <c r="C48" t="s">
        <v>14</v>
      </c>
      <c r="D48" t="s">
        <v>32</v>
      </c>
      <c r="E48" t="s">
        <v>67</v>
      </c>
      <c r="F48" t="s">
        <v>22</v>
      </c>
    </row>
    <row r="49" spans="1:6" x14ac:dyDescent="0.25">
      <c r="A49" t="s">
        <v>403</v>
      </c>
      <c r="B49" s="5">
        <v>45369</v>
      </c>
      <c r="C49" t="s">
        <v>14</v>
      </c>
      <c r="D49" t="s">
        <v>12</v>
      </c>
      <c r="E49" t="s">
        <v>67</v>
      </c>
      <c r="F49" t="s">
        <v>15</v>
      </c>
    </row>
    <row r="50" spans="1:6" x14ac:dyDescent="0.25">
      <c r="A50" t="s">
        <v>404</v>
      </c>
      <c r="B50" s="5">
        <v>45334</v>
      </c>
      <c r="C50" t="s">
        <v>14</v>
      </c>
      <c r="D50" t="s">
        <v>40</v>
      </c>
      <c r="E50" t="s">
        <v>67</v>
      </c>
      <c r="F50" t="s">
        <v>37</v>
      </c>
    </row>
    <row r="51" spans="1:6" x14ac:dyDescent="0.25">
      <c r="A51" t="s">
        <v>405</v>
      </c>
      <c r="B51" s="5">
        <v>45378</v>
      </c>
      <c r="C51" t="s">
        <v>14</v>
      </c>
      <c r="D51" t="s">
        <v>12</v>
      </c>
      <c r="E51" t="s">
        <v>67</v>
      </c>
      <c r="F51" t="s">
        <v>37</v>
      </c>
    </row>
    <row r="52" spans="1:6" x14ac:dyDescent="0.25">
      <c r="A52" t="s">
        <v>406</v>
      </c>
      <c r="B52" s="5">
        <v>45349</v>
      </c>
      <c r="C52" t="s">
        <v>21</v>
      </c>
      <c r="D52" t="s">
        <v>12</v>
      </c>
      <c r="E52" t="s">
        <v>13</v>
      </c>
      <c r="F52" t="s">
        <v>37</v>
      </c>
    </row>
    <row r="53" spans="1:6" x14ac:dyDescent="0.25">
      <c r="A53" t="s">
        <v>407</v>
      </c>
      <c r="B53" s="5">
        <v>45331</v>
      </c>
      <c r="C53" t="s">
        <v>43</v>
      </c>
      <c r="D53" t="s">
        <v>19</v>
      </c>
      <c r="E53" t="s">
        <v>20</v>
      </c>
      <c r="F53" t="s">
        <v>15</v>
      </c>
    </row>
    <row r="54" spans="1:6" x14ac:dyDescent="0.25">
      <c r="A54" t="s">
        <v>408</v>
      </c>
      <c r="B54" s="5">
        <v>45316</v>
      </c>
      <c r="C54" t="s">
        <v>43</v>
      </c>
      <c r="D54" t="s">
        <v>40</v>
      </c>
      <c r="E54" t="s">
        <v>36</v>
      </c>
      <c r="F54" t="s">
        <v>22</v>
      </c>
    </row>
    <row r="55" spans="1:6" x14ac:dyDescent="0.25">
      <c r="A55" t="s">
        <v>409</v>
      </c>
      <c r="B55" s="5">
        <v>45301</v>
      </c>
      <c r="C55" t="s">
        <v>21</v>
      </c>
      <c r="D55" t="s">
        <v>32</v>
      </c>
      <c r="E55" t="s">
        <v>67</v>
      </c>
      <c r="F55" t="s">
        <v>26</v>
      </c>
    </row>
    <row r="56" spans="1:6" x14ac:dyDescent="0.25">
      <c r="A56" t="s">
        <v>410</v>
      </c>
      <c r="B56" s="5">
        <v>45298</v>
      </c>
      <c r="C56" t="s">
        <v>21</v>
      </c>
      <c r="D56" t="s">
        <v>40</v>
      </c>
      <c r="E56" t="s">
        <v>36</v>
      </c>
      <c r="F56" t="s">
        <v>26</v>
      </c>
    </row>
    <row r="57" spans="1:6" x14ac:dyDescent="0.25">
      <c r="A57" t="s">
        <v>411</v>
      </c>
      <c r="B57" s="5">
        <v>45374</v>
      </c>
      <c r="C57" t="s">
        <v>14</v>
      </c>
      <c r="D57" t="s">
        <v>19</v>
      </c>
      <c r="E57" t="s">
        <v>13</v>
      </c>
      <c r="F57" t="s">
        <v>26</v>
      </c>
    </row>
    <row r="58" spans="1:6" x14ac:dyDescent="0.25">
      <c r="A58" t="s">
        <v>412</v>
      </c>
      <c r="B58" s="5">
        <v>45327</v>
      </c>
      <c r="C58" t="s">
        <v>21</v>
      </c>
      <c r="D58" t="s">
        <v>40</v>
      </c>
      <c r="E58" t="s">
        <v>36</v>
      </c>
      <c r="F58" t="s">
        <v>15</v>
      </c>
    </row>
    <row r="59" spans="1:6" x14ac:dyDescent="0.25">
      <c r="A59" t="s">
        <v>413</v>
      </c>
      <c r="B59" s="5">
        <v>45334</v>
      </c>
      <c r="C59" t="s">
        <v>43</v>
      </c>
      <c r="D59" t="s">
        <v>19</v>
      </c>
      <c r="E59" t="s">
        <v>67</v>
      </c>
      <c r="F59" t="s">
        <v>15</v>
      </c>
    </row>
    <row r="60" spans="1:6" x14ac:dyDescent="0.25">
      <c r="A60" t="s">
        <v>414</v>
      </c>
      <c r="B60" s="5">
        <v>45362</v>
      </c>
      <c r="C60" t="s">
        <v>14</v>
      </c>
      <c r="D60" t="s">
        <v>12</v>
      </c>
      <c r="E60" t="s">
        <v>67</v>
      </c>
      <c r="F60" t="s">
        <v>22</v>
      </c>
    </row>
    <row r="61" spans="1:6" x14ac:dyDescent="0.25">
      <c r="A61" t="s">
        <v>415</v>
      </c>
      <c r="B61" s="5">
        <v>45382</v>
      </c>
      <c r="C61" t="s">
        <v>21</v>
      </c>
      <c r="D61" t="s">
        <v>32</v>
      </c>
      <c r="E61" t="s">
        <v>13</v>
      </c>
      <c r="F61" t="s">
        <v>22</v>
      </c>
    </row>
    <row r="62" spans="1:6" x14ac:dyDescent="0.25">
      <c r="A62" t="s">
        <v>416</v>
      </c>
      <c r="B62" s="5">
        <v>45350</v>
      </c>
      <c r="C62" t="s">
        <v>33</v>
      </c>
      <c r="D62" t="s">
        <v>19</v>
      </c>
      <c r="E62" t="s">
        <v>13</v>
      </c>
      <c r="F62" t="s">
        <v>37</v>
      </c>
    </row>
    <row r="63" spans="1:6" x14ac:dyDescent="0.25">
      <c r="A63" t="s">
        <v>417</v>
      </c>
      <c r="B63" s="5">
        <v>45304</v>
      </c>
      <c r="C63" t="s">
        <v>43</v>
      </c>
      <c r="D63" t="s">
        <v>25</v>
      </c>
      <c r="E63" t="s">
        <v>20</v>
      </c>
      <c r="F63" t="s">
        <v>15</v>
      </c>
    </row>
    <row r="64" spans="1:6" x14ac:dyDescent="0.25">
      <c r="A64" t="s">
        <v>418</v>
      </c>
      <c r="B64" s="5">
        <v>45338</v>
      </c>
      <c r="C64" t="s">
        <v>33</v>
      </c>
      <c r="D64" t="s">
        <v>54</v>
      </c>
      <c r="E64" t="s">
        <v>20</v>
      </c>
      <c r="F64" t="s">
        <v>26</v>
      </c>
    </row>
    <row r="65" spans="1:6" x14ac:dyDescent="0.25">
      <c r="A65" t="s">
        <v>419</v>
      </c>
      <c r="B65" s="5">
        <v>45368</v>
      </c>
      <c r="C65" t="s">
        <v>33</v>
      </c>
      <c r="D65" t="s">
        <v>12</v>
      </c>
      <c r="E65" t="s">
        <v>36</v>
      </c>
      <c r="F65" t="s">
        <v>26</v>
      </c>
    </row>
    <row r="66" spans="1:6" x14ac:dyDescent="0.25">
      <c r="A66" t="s">
        <v>420</v>
      </c>
      <c r="B66" s="5">
        <v>45298</v>
      </c>
      <c r="C66" t="s">
        <v>21</v>
      </c>
      <c r="D66" t="s">
        <v>12</v>
      </c>
      <c r="E66" t="s">
        <v>36</v>
      </c>
      <c r="F66" t="s">
        <v>29</v>
      </c>
    </row>
    <row r="67" spans="1:6" x14ac:dyDescent="0.25">
      <c r="A67" t="s">
        <v>421</v>
      </c>
      <c r="B67" s="5">
        <v>45382</v>
      </c>
      <c r="C67" t="s">
        <v>21</v>
      </c>
      <c r="D67" t="s">
        <v>54</v>
      </c>
      <c r="E67" t="s">
        <v>20</v>
      </c>
      <c r="F67" t="s">
        <v>29</v>
      </c>
    </row>
    <row r="68" spans="1:6" x14ac:dyDescent="0.25">
      <c r="A68" t="s">
        <v>422</v>
      </c>
      <c r="B68" s="5">
        <v>45347</v>
      </c>
      <c r="C68" t="s">
        <v>33</v>
      </c>
      <c r="D68" t="s">
        <v>19</v>
      </c>
      <c r="E68" t="s">
        <v>20</v>
      </c>
      <c r="F68" t="s">
        <v>15</v>
      </c>
    </row>
    <row r="69" spans="1:6" x14ac:dyDescent="0.25">
      <c r="A69" t="s">
        <v>423</v>
      </c>
      <c r="B69" s="5">
        <v>45328</v>
      </c>
      <c r="C69" t="s">
        <v>21</v>
      </c>
      <c r="D69" t="s">
        <v>19</v>
      </c>
      <c r="E69" t="s">
        <v>13</v>
      </c>
      <c r="F69" t="s">
        <v>22</v>
      </c>
    </row>
    <row r="70" spans="1:6" x14ac:dyDescent="0.25">
      <c r="A70" t="s">
        <v>424</v>
      </c>
      <c r="B70" s="5">
        <v>45306</v>
      </c>
      <c r="C70" t="s">
        <v>14</v>
      </c>
      <c r="D70" t="s">
        <v>54</v>
      </c>
      <c r="E70" t="s">
        <v>20</v>
      </c>
      <c r="F70" t="s">
        <v>37</v>
      </c>
    </row>
    <row r="71" spans="1:6" x14ac:dyDescent="0.25">
      <c r="A71" t="s">
        <v>425</v>
      </c>
      <c r="B71" s="5">
        <v>45354</v>
      </c>
      <c r="C71" t="s">
        <v>33</v>
      </c>
      <c r="D71" t="s">
        <v>19</v>
      </c>
      <c r="E71" t="s">
        <v>36</v>
      </c>
      <c r="F71" t="s">
        <v>22</v>
      </c>
    </row>
    <row r="72" spans="1:6" x14ac:dyDescent="0.25">
      <c r="A72" t="s">
        <v>426</v>
      </c>
      <c r="B72" s="5">
        <v>45378</v>
      </c>
      <c r="C72" t="s">
        <v>14</v>
      </c>
      <c r="D72" t="s">
        <v>19</v>
      </c>
      <c r="E72" t="s">
        <v>13</v>
      </c>
      <c r="F72" t="s">
        <v>15</v>
      </c>
    </row>
    <row r="73" spans="1:6" x14ac:dyDescent="0.25">
      <c r="A73" t="s">
        <v>427</v>
      </c>
      <c r="B73" s="5">
        <v>45309</v>
      </c>
      <c r="C73" t="s">
        <v>43</v>
      </c>
      <c r="D73" t="s">
        <v>12</v>
      </c>
      <c r="E73" t="s">
        <v>20</v>
      </c>
      <c r="F73" t="s">
        <v>37</v>
      </c>
    </row>
    <row r="74" spans="1:6" x14ac:dyDescent="0.25">
      <c r="A74" t="s">
        <v>428</v>
      </c>
      <c r="B74" s="5">
        <v>45331</v>
      </c>
      <c r="C74" t="s">
        <v>21</v>
      </c>
      <c r="D74" t="s">
        <v>19</v>
      </c>
      <c r="E74" t="s">
        <v>36</v>
      </c>
      <c r="F74" t="s">
        <v>22</v>
      </c>
    </row>
    <row r="75" spans="1:6" x14ac:dyDescent="0.25">
      <c r="A75" t="s">
        <v>429</v>
      </c>
      <c r="B75" s="5">
        <v>45298</v>
      </c>
      <c r="C75" t="s">
        <v>33</v>
      </c>
      <c r="D75" t="s">
        <v>54</v>
      </c>
      <c r="E75" t="s">
        <v>13</v>
      </c>
      <c r="F75" t="s">
        <v>29</v>
      </c>
    </row>
    <row r="76" spans="1:6" x14ac:dyDescent="0.25">
      <c r="A76" t="s">
        <v>430</v>
      </c>
      <c r="B76" s="5">
        <v>45295</v>
      </c>
      <c r="C76" t="s">
        <v>43</v>
      </c>
      <c r="D76" t="s">
        <v>12</v>
      </c>
      <c r="E76" t="s">
        <v>67</v>
      </c>
      <c r="F76" t="s">
        <v>22</v>
      </c>
    </row>
    <row r="77" spans="1:6" x14ac:dyDescent="0.25">
      <c r="A77" t="s">
        <v>431</v>
      </c>
      <c r="B77" s="5">
        <v>45359</v>
      </c>
      <c r="C77" t="s">
        <v>43</v>
      </c>
      <c r="D77" t="s">
        <v>25</v>
      </c>
      <c r="E77" t="s">
        <v>20</v>
      </c>
      <c r="F77" t="s">
        <v>26</v>
      </c>
    </row>
    <row r="78" spans="1:6" x14ac:dyDescent="0.25">
      <c r="A78" t="s">
        <v>432</v>
      </c>
      <c r="B78" s="5">
        <v>45351</v>
      </c>
      <c r="C78" t="s">
        <v>21</v>
      </c>
      <c r="D78" t="s">
        <v>19</v>
      </c>
      <c r="E78" t="s">
        <v>36</v>
      </c>
      <c r="F78" t="s">
        <v>15</v>
      </c>
    </row>
    <row r="79" spans="1:6" x14ac:dyDescent="0.25">
      <c r="A79" t="s">
        <v>433</v>
      </c>
      <c r="B79" s="5">
        <v>45311</v>
      </c>
      <c r="C79" t="s">
        <v>43</v>
      </c>
      <c r="D79" t="s">
        <v>32</v>
      </c>
      <c r="E79" t="s">
        <v>67</v>
      </c>
      <c r="F79" t="s">
        <v>29</v>
      </c>
    </row>
    <row r="80" spans="1:6" x14ac:dyDescent="0.25">
      <c r="A80" t="s">
        <v>434</v>
      </c>
      <c r="B80" s="5">
        <v>45375</v>
      </c>
      <c r="C80" t="s">
        <v>21</v>
      </c>
      <c r="D80" t="s">
        <v>12</v>
      </c>
      <c r="E80" t="s">
        <v>36</v>
      </c>
      <c r="F80" t="s">
        <v>26</v>
      </c>
    </row>
    <row r="81" spans="1:6" x14ac:dyDescent="0.25">
      <c r="A81" t="s">
        <v>435</v>
      </c>
      <c r="B81" s="5">
        <v>45332</v>
      </c>
      <c r="C81" t="s">
        <v>33</v>
      </c>
      <c r="D81" t="s">
        <v>12</v>
      </c>
      <c r="E81" t="s">
        <v>36</v>
      </c>
      <c r="F81" t="s">
        <v>26</v>
      </c>
    </row>
    <row r="82" spans="1:6" x14ac:dyDescent="0.25">
      <c r="A82" t="s">
        <v>436</v>
      </c>
      <c r="B82" s="5">
        <v>45366</v>
      </c>
      <c r="C82" t="s">
        <v>43</v>
      </c>
      <c r="D82" t="s">
        <v>54</v>
      </c>
      <c r="E82" t="s">
        <v>67</v>
      </c>
      <c r="F82" t="s">
        <v>15</v>
      </c>
    </row>
    <row r="83" spans="1:6" x14ac:dyDescent="0.25">
      <c r="A83" t="s">
        <v>437</v>
      </c>
      <c r="B83" s="5">
        <v>45324</v>
      </c>
      <c r="C83" t="s">
        <v>14</v>
      </c>
      <c r="D83" t="s">
        <v>19</v>
      </c>
      <c r="E83" t="s">
        <v>13</v>
      </c>
      <c r="F83" t="s">
        <v>22</v>
      </c>
    </row>
    <row r="84" spans="1:6" x14ac:dyDescent="0.25">
      <c r="A84" t="s">
        <v>438</v>
      </c>
      <c r="B84" s="5">
        <v>45327</v>
      </c>
      <c r="C84" t="s">
        <v>43</v>
      </c>
      <c r="D84" t="s">
        <v>54</v>
      </c>
      <c r="E84" t="s">
        <v>67</v>
      </c>
      <c r="F84" t="s">
        <v>22</v>
      </c>
    </row>
    <row r="85" spans="1:6" x14ac:dyDescent="0.25">
      <c r="A85" t="s">
        <v>439</v>
      </c>
      <c r="B85" s="5">
        <v>45328</v>
      </c>
      <c r="C85" t="s">
        <v>21</v>
      </c>
      <c r="D85" t="s">
        <v>54</v>
      </c>
      <c r="E85" t="s">
        <v>20</v>
      </c>
      <c r="F85" t="s">
        <v>26</v>
      </c>
    </row>
    <row r="86" spans="1:6" x14ac:dyDescent="0.25">
      <c r="A86" t="s">
        <v>440</v>
      </c>
      <c r="B86" s="5">
        <v>45377</v>
      </c>
      <c r="C86" t="s">
        <v>33</v>
      </c>
      <c r="D86" t="s">
        <v>32</v>
      </c>
      <c r="E86" t="s">
        <v>67</v>
      </c>
      <c r="F86" t="s">
        <v>29</v>
      </c>
    </row>
    <row r="87" spans="1:6" x14ac:dyDescent="0.25">
      <c r="A87" t="s">
        <v>441</v>
      </c>
      <c r="B87" s="5">
        <v>45335</v>
      </c>
      <c r="C87" t="s">
        <v>43</v>
      </c>
      <c r="D87" t="s">
        <v>40</v>
      </c>
      <c r="E87" t="s">
        <v>13</v>
      </c>
      <c r="F87" t="s">
        <v>37</v>
      </c>
    </row>
    <row r="88" spans="1:6" x14ac:dyDescent="0.25">
      <c r="A88" t="s">
        <v>442</v>
      </c>
      <c r="B88" s="5">
        <v>45376</v>
      </c>
      <c r="C88" t="s">
        <v>33</v>
      </c>
      <c r="D88" t="s">
        <v>40</v>
      </c>
      <c r="E88" t="s">
        <v>13</v>
      </c>
      <c r="F88" t="s">
        <v>15</v>
      </c>
    </row>
    <row r="89" spans="1:6" x14ac:dyDescent="0.25">
      <c r="A89" t="s">
        <v>443</v>
      </c>
      <c r="B89" s="5">
        <v>45320</v>
      </c>
      <c r="C89" t="s">
        <v>43</v>
      </c>
      <c r="D89" t="s">
        <v>54</v>
      </c>
      <c r="E89" t="s">
        <v>13</v>
      </c>
      <c r="F89" t="s">
        <v>26</v>
      </c>
    </row>
    <row r="90" spans="1:6" x14ac:dyDescent="0.25">
      <c r="A90" t="s">
        <v>444</v>
      </c>
      <c r="B90" s="5">
        <v>45377</v>
      </c>
      <c r="C90" t="s">
        <v>33</v>
      </c>
      <c r="D90" t="s">
        <v>40</v>
      </c>
      <c r="E90" t="s">
        <v>67</v>
      </c>
      <c r="F90" t="s">
        <v>29</v>
      </c>
    </row>
    <row r="91" spans="1:6" x14ac:dyDescent="0.25">
      <c r="A91" t="s">
        <v>445</v>
      </c>
      <c r="B91" s="5">
        <v>45303</v>
      </c>
      <c r="C91" t="s">
        <v>33</v>
      </c>
      <c r="D91" t="s">
        <v>32</v>
      </c>
      <c r="E91" t="s">
        <v>67</v>
      </c>
      <c r="F91" t="s">
        <v>15</v>
      </c>
    </row>
    <row r="92" spans="1:6" x14ac:dyDescent="0.25">
      <c r="A92" t="s">
        <v>446</v>
      </c>
      <c r="B92" s="5">
        <v>45300</v>
      </c>
      <c r="C92" t="s">
        <v>21</v>
      </c>
      <c r="D92" t="s">
        <v>12</v>
      </c>
      <c r="E92" t="s">
        <v>36</v>
      </c>
      <c r="F92" t="s">
        <v>26</v>
      </c>
    </row>
    <row r="93" spans="1:6" x14ac:dyDescent="0.25">
      <c r="A93" t="s">
        <v>447</v>
      </c>
      <c r="B93" s="5">
        <v>45306</v>
      </c>
      <c r="C93" t="s">
        <v>14</v>
      </c>
      <c r="D93" t="s">
        <v>25</v>
      </c>
      <c r="E93" t="s">
        <v>20</v>
      </c>
      <c r="F93" t="s">
        <v>22</v>
      </c>
    </row>
    <row r="94" spans="1:6" x14ac:dyDescent="0.25">
      <c r="A94" t="s">
        <v>448</v>
      </c>
      <c r="B94" s="5">
        <v>45326</v>
      </c>
      <c r="C94" t="s">
        <v>21</v>
      </c>
      <c r="D94" t="s">
        <v>40</v>
      </c>
      <c r="E94" t="s">
        <v>67</v>
      </c>
      <c r="F94" t="s">
        <v>22</v>
      </c>
    </row>
    <row r="95" spans="1:6" x14ac:dyDescent="0.25">
      <c r="A95" t="s">
        <v>449</v>
      </c>
      <c r="B95" s="5">
        <v>45382</v>
      </c>
      <c r="C95" t="s">
        <v>33</v>
      </c>
      <c r="D95" t="s">
        <v>54</v>
      </c>
      <c r="E95" t="s">
        <v>20</v>
      </c>
      <c r="F95" t="s">
        <v>26</v>
      </c>
    </row>
    <row r="96" spans="1:6" x14ac:dyDescent="0.25">
      <c r="A96" t="s">
        <v>450</v>
      </c>
      <c r="B96" s="5">
        <v>45310</v>
      </c>
      <c r="C96" t="s">
        <v>33</v>
      </c>
      <c r="D96" t="s">
        <v>19</v>
      </c>
      <c r="E96" t="s">
        <v>67</v>
      </c>
      <c r="F96" t="s">
        <v>26</v>
      </c>
    </row>
    <row r="97" spans="1:6" x14ac:dyDescent="0.25">
      <c r="A97" t="s">
        <v>451</v>
      </c>
      <c r="B97" s="5">
        <v>45371</v>
      </c>
      <c r="C97" t="s">
        <v>14</v>
      </c>
      <c r="D97" t="s">
        <v>12</v>
      </c>
      <c r="E97" t="s">
        <v>67</v>
      </c>
      <c r="F97" t="s">
        <v>15</v>
      </c>
    </row>
    <row r="98" spans="1:6" x14ac:dyDescent="0.25">
      <c r="A98" t="s">
        <v>452</v>
      </c>
      <c r="B98" s="5">
        <v>45339</v>
      </c>
      <c r="C98" t="s">
        <v>33</v>
      </c>
      <c r="D98" t="s">
        <v>12</v>
      </c>
      <c r="E98" t="s">
        <v>13</v>
      </c>
      <c r="F98" t="s">
        <v>26</v>
      </c>
    </row>
    <row r="99" spans="1:6" x14ac:dyDescent="0.25">
      <c r="A99" t="s">
        <v>453</v>
      </c>
      <c r="B99" s="5">
        <v>45348</v>
      </c>
      <c r="C99" t="s">
        <v>14</v>
      </c>
      <c r="D99" t="s">
        <v>19</v>
      </c>
      <c r="E99" t="s">
        <v>67</v>
      </c>
      <c r="F99" t="s">
        <v>37</v>
      </c>
    </row>
    <row r="100" spans="1:6" x14ac:dyDescent="0.25">
      <c r="A100" t="s">
        <v>454</v>
      </c>
      <c r="B100" s="5">
        <v>45296</v>
      </c>
      <c r="C100" t="s">
        <v>14</v>
      </c>
      <c r="D100" t="s">
        <v>54</v>
      </c>
      <c r="E100" t="s">
        <v>20</v>
      </c>
      <c r="F100" t="s">
        <v>22</v>
      </c>
    </row>
    <row r="101" spans="1:6" x14ac:dyDescent="0.25">
      <c r="A101" t="s">
        <v>455</v>
      </c>
      <c r="B101" s="5">
        <v>45369</v>
      </c>
      <c r="C101" t="s">
        <v>33</v>
      </c>
      <c r="D101" t="s">
        <v>54</v>
      </c>
      <c r="E101" t="s">
        <v>20</v>
      </c>
      <c r="F101" t="s">
        <v>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>
      <selection activeCell="G11" sqref="G11"/>
    </sheetView>
  </sheetViews>
  <sheetFormatPr defaultRowHeight="15" x14ac:dyDescent="0.25"/>
  <cols>
    <col min="1" max="1" width="12.5703125" bestFit="1" customWidth="1"/>
    <col min="2" max="2" width="13.140625" bestFit="1" customWidth="1"/>
    <col min="3" max="3" width="14.85546875" bestFit="1" customWidth="1"/>
    <col min="4" max="4" width="20.28515625" style="4" bestFit="1" customWidth="1"/>
    <col min="5" max="5" width="19.7109375" bestFit="1" customWidth="1"/>
  </cols>
  <sheetData>
    <row r="1" spans="1:5" x14ac:dyDescent="0.25">
      <c r="A1" t="s">
        <v>456</v>
      </c>
      <c r="B1" t="s">
        <v>0</v>
      </c>
      <c r="C1" t="s">
        <v>457</v>
      </c>
      <c r="D1" s="4" t="s">
        <v>458</v>
      </c>
      <c r="E1" t="s">
        <v>459</v>
      </c>
    </row>
    <row r="2" spans="1:5" x14ac:dyDescent="0.25">
      <c r="A2" t="s">
        <v>460</v>
      </c>
      <c r="B2" t="s">
        <v>138</v>
      </c>
      <c r="C2" s="1">
        <v>45381</v>
      </c>
      <c r="D2" s="4">
        <v>75000</v>
      </c>
      <c r="E2" t="s">
        <v>461</v>
      </c>
    </row>
    <row r="3" spans="1:5" x14ac:dyDescent="0.25">
      <c r="A3" t="s">
        <v>462</v>
      </c>
      <c r="B3" t="s">
        <v>190</v>
      </c>
      <c r="C3" s="1">
        <v>45400</v>
      </c>
      <c r="D3" s="4">
        <v>75000</v>
      </c>
      <c r="E3" t="s">
        <v>463</v>
      </c>
    </row>
    <row r="4" spans="1:5" x14ac:dyDescent="0.25">
      <c r="A4" t="s">
        <v>464</v>
      </c>
      <c r="B4" t="s">
        <v>162</v>
      </c>
      <c r="C4" s="1">
        <v>45380</v>
      </c>
      <c r="D4" s="4">
        <v>45000</v>
      </c>
      <c r="E4" t="s">
        <v>461</v>
      </c>
    </row>
    <row r="5" spans="1:5" x14ac:dyDescent="0.25">
      <c r="A5" t="s">
        <v>465</v>
      </c>
      <c r="B5" t="s">
        <v>80</v>
      </c>
      <c r="C5" s="1">
        <v>45376</v>
      </c>
      <c r="D5" s="4">
        <v>75000</v>
      </c>
      <c r="E5" t="s">
        <v>461</v>
      </c>
    </row>
    <row r="6" spans="1:5" x14ac:dyDescent="0.25">
      <c r="A6" t="s">
        <v>466</v>
      </c>
      <c r="B6" t="s">
        <v>186</v>
      </c>
      <c r="C6" s="1">
        <v>45425</v>
      </c>
      <c r="D6" s="4">
        <v>45000</v>
      </c>
      <c r="E6" t="s">
        <v>461</v>
      </c>
    </row>
    <row r="7" spans="1:5" x14ac:dyDescent="0.25">
      <c r="A7" t="s">
        <v>467</v>
      </c>
      <c r="B7" t="s">
        <v>170</v>
      </c>
      <c r="C7" s="1">
        <v>45403</v>
      </c>
      <c r="D7" s="4">
        <v>75000</v>
      </c>
      <c r="E7" t="s">
        <v>463</v>
      </c>
    </row>
    <row r="8" spans="1:5" x14ac:dyDescent="0.25">
      <c r="A8" t="s">
        <v>468</v>
      </c>
      <c r="B8" t="s">
        <v>41</v>
      </c>
      <c r="C8" s="1">
        <v>45401</v>
      </c>
      <c r="D8" s="4">
        <v>75000</v>
      </c>
      <c r="E8" t="s">
        <v>463</v>
      </c>
    </row>
    <row r="9" spans="1:5" x14ac:dyDescent="0.25">
      <c r="A9" t="s">
        <v>469</v>
      </c>
      <c r="B9" t="s">
        <v>140</v>
      </c>
      <c r="C9" s="1">
        <v>45383</v>
      </c>
      <c r="D9" s="4">
        <v>75000</v>
      </c>
      <c r="E9" t="s">
        <v>470</v>
      </c>
    </row>
    <row r="10" spans="1:5" x14ac:dyDescent="0.25">
      <c r="A10" t="s">
        <v>471</v>
      </c>
      <c r="B10" t="s">
        <v>220</v>
      </c>
      <c r="C10" s="1">
        <v>45372</v>
      </c>
      <c r="D10" s="4">
        <v>50000</v>
      </c>
      <c r="E10" t="s">
        <v>461</v>
      </c>
    </row>
    <row r="11" spans="1:5" x14ac:dyDescent="0.25">
      <c r="A11" t="s">
        <v>472</v>
      </c>
      <c r="B11" t="s">
        <v>65</v>
      </c>
      <c r="C11" s="1">
        <v>45412</v>
      </c>
      <c r="D11" s="4">
        <v>50000</v>
      </c>
      <c r="E11" t="s">
        <v>470</v>
      </c>
    </row>
    <row r="12" spans="1:5" x14ac:dyDescent="0.25">
      <c r="A12" t="s">
        <v>473</v>
      </c>
      <c r="B12" t="s">
        <v>202</v>
      </c>
      <c r="C12" s="1">
        <v>45392</v>
      </c>
      <c r="D12" s="4">
        <v>75000</v>
      </c>
      <c r="E12" t="s">
        <v>463</v>
      </c>
    </row>
    <row r="13" spans="1:5" x14ac:dyDescent="0.25">
      <c r="A13" t="s">
        <v>474</v>
      </c>
      <c r="B13" t="s">
        <v>102</v>
      </c>
      <c r="C13" s="1">
        <v>45405</v>
      </c>
      <c r="D13" s="4">
        <v>45000</v>
      </c>
      <c r="E13" t="s">
        <v>463</v>
      </c>
    </row>
    <row r="14" spans="1:5" x14ac:dyDescent="0.25">
      <c r="A14" t="s">
        <v>475</v>
      </c>
      <c r="B14" t="s">
        <v>108</v>
      </c>
      <c r="C14" s="1">
        <v>45375</v>
      </c>
      <c r="D14" s="4">
        <v>75000</v>
      </c>
      <c r="E14" t="s">
        <v>463</v>
      </c>
    </row>
    <row r="15" spans="1:5" x14ac:dyDescent="0.25">
      <c r="A15" t="s">
        <v>476</v>
      </c>
      <c r="B15" t="s">
        <v>158</v>
      </c>
      <c r="C15" s="1">
        <v>45413</v>
      </c>
      <c r="D15" s="4">
        <v>45000</v>
      </c>
      <c r="E15" t="s">
        <v>463</v>
      </c>
    </row>
    <row r="16" spans="1:5" x14ac:dyDescent="0.25">
      <c r="A16" t="s">
        <v>477</v>
      </c>
      <c r="B16" t="s">
        <v>112</v>
      </c>
      <c r="C16" s="1">
        <v>45358</v>
      </c>
      <c r="D16" s="4">
        <v>75000</v>
      </c>
      <c r="E16" t="s">
        <v>463</v>
      </c>
    </row>
    <row r="17" spans="1:5" x14ac:dyDescent="0.25">
      <c r="A17" t="s">
        <v>478</v>
      </c>
      <c r="B17" t="s">
        <v>148</v>
      </c>
      <c r="C17" s="1">
        <v>45392</v>
      </c>
      <c r="D17" s="4">
        <v>75000</v>
      </c>
      <c r="E17" t="s">
        <v>461</v>
      </c>
    </row>
    <row r="18" spans="1:5" x14ac:dyDescent="0.25">
      <c r="A18" t="s">
        <v>479</v>
      </c>
      <c r="B18" t="s">
        <v>158</v>
      </c>
      <c r="C18" s="1">
        <v>45353</v>
      </c>
      <c r="D18" s="4">
        <v>50000</v>
      </c>
      <c r="E18" t="s">
        <v>461</v>
      </c>
    </row>
    <row r="19" spans="1:5" x14ac:dyDescent="0.25">
      <c r="A19" t="s">
        <v>480</v>
      </c>
      <c r="B19" t="s">
        <v>136</v>
      </c>
      <c r="C19" s="1">
        <v>45401</v>
      </c>
      <c r="D19" s="4">
        <v>45000</v>
      </c>
      <c r="E19" t="s">
        <v>470</v>
      </c>
    </row>
    <row r="20" spans="1:5" x14ac:dyDescent="0.25">
      <c r="A20" t="s">
        <v>481</v>
      </c>
      <c r="B20" t="s">
        <v>216</v>
      </c>
      <c r="C20" s="1">
        <v>45428</v>
      </c>
      <c r="D20" s="4">
        <v>50000</v>
      </c>
      <c r="E20" t="s">
        <v>470</v>
      </c>
    </row>
    <row r="21" spans="1:5" x14ac:dyDescent="0.25">
      <c r="A21" t="s">
        <v>482</v>
      </c>
      <c r="B21" t="s">
        <v>220</v>
      </c>
      <c r="C21" s="1">
        <v>45402</v>
      </c>
      <c r="D21" s="4">
        <v>75000</v>
      </c>
      <c r="E21" t="s">
        <v>463</v>
      </c>
    </row>
    <row r="22" spans="1:5" x14ac:dyDescent="0.25">
      <c r="A22" t="s">
        <v>483</v>
      </c>
      <c r="B22" t="s">
        <v>186</v>
      </c>
      <c r="C22" s="1">
        <v>45378</v>
      </c>
      <c r="D22" s="4">
        <v>75000</v>
      </c>
      <c r="E22" t="s">
        <v>461</v>
      </c>
    </row>
    <row r="23" spans="1:5" x14ac:dyDescent="0.25">
      <c r="A23" t="s">
        <v>484</v>
      </c>
      <c r="B23" t="s">
        <v>206</v>
      </c>
      <c r="C23" s="1">
        <v>45407</v>
      </c>
      <c r="D23" s="4">
        <v>50000</v>
      </c>
      <c r="E23" t="s">
        <v>463</v>
      </c>
    </row>
    <row r="24" spans="1:5" x14ac:dyDescent="0.25">
      <c r="A24" t="s">
        <v>485</v>
      </c>
      <c r="B24" t="s">
        <v>82</v>
      </c>
      <c r="C24" s="1">
        <v>45421</v>
      </c>
      <c r="D24" s="4">
        <v>45000</v>
      </c>
      <c r="E24" t="s">
        <v>463</v>
      </c>
    </row>
    <row r="25" spans="1:5" x14ac:dyDescent="0.25">
      <c r="A25" t="s">
        <v>486</v>
      </c>
      <c r="B25" t="s">
        <v>124</v>
      </c>
      <c r="C25" s="1">
        <v>45426</v>
      </c>
      <c r="D25" s="4">
        <v>50000</v>
      </c>
      <c r="E25" t="s">
        <v>461</v>
      </c>
    </row>
    <row r="26" spans="1:5" x14ac:dyDescent="0.25">
      <c r="A26" t="s">
        <v>487</v>
      </c>
      <c r="B26" t="s">
        <v>38</v>
      </c>
      <c r="C26" s="1">
        <v>45416</v>
      </c>
      <c r="D26" s="4">
        <v>75000</v>
      </c>
      <c r="E26" t="s">
        <v>470</v>
      </c>
    </row>
    <row r="27" spans="1:5" x14ac:dyDescent="0.25">
      <c r="A27" t="s">
        <v>488</v>
      </c>
      <c r="B27" t="s">
        <v>98</v>
      </c>
      <c r="C27" s="1">
        <v>45389</v>
      </c>
      <c r="D27" s="4">
        <v>75000</v>
      </c>
      <c r="E27" t="s">
        <v>463</v>
      </c>
    </row>
    <row r="28" spans="1:5" x14ac:dyDescent="0.25">
      <c r="A28" t="s">
        <v>489</v>
      </c>
      <c r="B28" t="s">
        <v>148</v>
      </c>
      <c r="C28" s="1">
        <v>45374</v>
      </c>
      <c r="D28" s="4">
        <v>45000</v>
      </c>
      <c r="E28" t="s">
        <v>470</v>
      </c>
    </row>
    <row r="29" spans="1:5" x14ac:dyDescent="0.25">
      <c r="A29" t="s">
        <v>490</v>
      </c>
      <c r="B29" t="s">
        <v>212</v>
      </c>
      <c r="C29" s="1">
        <v>45387</v>
      </c>
      <c r="D29" s="4">
        <v>50000</v>
      </c>
      <c r="E29" t="s">
        <v>470</v>
      </c>
    </row>
    <row r="30" spans="1:5" x14ac:dyDescent="0.25">
      <c r="A30" t="s">
        <v>491</v>
      </c>
      <c r="B30" t="s">
        <v>68</v>
      </c>
      <c r="C30" s="1">
        <v>45357</v>
      </c>
      <c r="D30" s="4">
        <v>75000</v>
      </c>
      <c r="E30" t="s">
        <v>463</v>
      </c>
    </row>
    <row r="31" spans="1:5" x14ac:dyDescent="0.25">
      <c r="A31" t="s">
        <v>492</v>
      </c>
      <c r="B31" t="s">
        <v>78</v>
      </c>
      <c r="C31" s="1">
        <v>45403</v>
      </c>
      <c r="D31" s="4">
        <v>50000</v>
      </c>
      <c r="E31" t="s">
        <v>461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6E24-A57C-48EC-9434-C448AF645E25}">
  <sheetPr>
    <tabColor rgb="FFFFFF00"/>
  </sheetPr>
  <dimension ref="A1:J25"/>
  <sheetViews>
    <sheetView workbookViewId="0">
      <selection activeCell="A25" sqref="A25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" bestFit="1" customWidth="1"/>
    <col min="4" max="4" width="9.7109375" bestFit="1" customWidth="1"/>
    <col min="5" max="5" width="6.42578125" bestFit="1" customWidth="1"/>
    <col min="6" max="6" width="5.7109375" bestFit="1" customWidth="1"/>
    <col min="8" max="8" width="15.7109375" bestFit="1" customWidth="1"/>
    <col min="9" max="9" width="16.5703125" bestFit="1" customWidth="1"/>
    <col min="10" max="10" width="20.85546875" bestFit="1" customWidth="1"/>
  </cols>
  <sheetData>
    <row r="1" spans="1:10" s="6" customFormat="1" ht="18.75" x14ac:dyDescent="0.3">
      <c r="A1" s="6" t="s">
        <v>0</v>
      </c>
      <c r="B1" s="6" t="s">
        <v>1</v>
      </c>
      <c r="C1" s="6" t="s">
        <v>493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x14ac:dyDescent="0.25">
      <c r="A2" s="2" t="s">
        <v>38</v>
      </c>
    </row>
    <row r="3" spans="1:10" x14ac:dyDescent="0.25">
      <c r="A3" s="3" t="s">
        <v>41</v>
      </c>
    </row>
    <row r="4" spans="1:10" x14ac:dyDescent="0.25">
      <c r="A4" s="2" t="s">
        <v>44</v>
      </c>
    </row>
    <row r="5" spans="1:10" x14ac:dyDescent="0.25">
      <c r="A5" s="3" t="s">
        <v>46</v>
      </c>
    </row>
    <row r="6" spans="1:10" x14ac:dyDescent="0.25">
      <c r="A6" s="2" t="s">
        <v>48</v>
      </c>
    </row>
    <row r="7" spans="1:10" x14ac:dyDescent="0.25">
      <c r="A7" s="3" t="s">
        <v>50</v>
      </c>
    </row>
    <row r="8" spans="1:10" x14ac:dyDescent="0.25">
      <c r="A8" s="2" t="s">
        <v>52</v>
      </c>
    </row>
    <row r="9" spans="1:10" x14ac:dyDescent="0.25">
      <c r="A9" s="3" t="s">
        <v>55</v>
      </c>
    </row>
    <row r="10" spans="1:10" x14ac:dyDescent="0.25">
      <c r="A10" s="2" t="s">
        <v>57</v>
      </c>
    </row>
    <row r="11" spans="1:10" x14ac:dyDescent="0.25">
      <c r="A11" s="3" t="s">
        <v>59</v>
      </c>
    </row>
    <row r="12" spans="1:10" x14ac:dyDescent="0.25">
      <c r="A12" s="2" t="s">
        <v>61</v>
      </c>
    </row>
    <row r="13" spans="1:10" x14ac:dyDescent="0.25">
      <c r="A13" s="3" t="s">
        <v>63</v>
      </c>
    </row>
    <row r="14" spans="1:10" x14ac:dyDescent="0.25">
      <c r="A14" s="2" t="s">
        <v>65</v>
      </c>
    </row>
    <row r="15" spans="1:10" x14ac:dyDescent="0.25">
      <c r="A15" s="3" t="s">
        <v>68</v>
      </c>
    </row>
    <row r="16" spans="1:10" x14ac:dyDescent="0.25">
      <c r="A16" s="2" t="s">
        <v>70</v>
      </c>
    </row>
    <row r="17" spans="1:1" x14ac:dyDescent="0.25">
      <c r="A17" s="3" t="s">
        <v>72</v>
      </c>
    </row>
    <row r="18" spans="1:1" x14ac:dyDescent="0.25">
      <c r="A18" s="2" t="s">
        <v>74</v>
      </c>
    </row>
    <row r="19" spans="1:1" x14ac:dyDescent="0.25">
      <c r="A19" s="3" t="s">
        <v>76</v>
      </c>
    </row>
    <row r="20" spans="1:1" x14ac:dyDescent="0.25">
      <c r="A20" s="2" t="s">
        <v>78</v>
      </c>
    </row>
    <row r="21" spans="1:1" x14ac:dyDescent="0.25">
      <c r="A21" s="3" t="s">
        <v>80</v>
      </c>
    </row>
    <row r="22" spans="1:1" x14ac:dyDescent="0.25">
      <c r="A22" s="2" t="s">
        <v>82</v>
      </c>
    </row>
    <row r="23" spans="1:1" x14ac:dyDescent="0.25">
      <c r="A23" s="3" t="s">
        <v>84</v>
      </c>
    </row>
    <row r="24" spans="1:1" x14ac:dyDescent="0.25">
      <c r="A24" s="2" t="s">
        <v>86</v>
      </c>
    </row>
    <row r="25" spans="1:1" x14ac:dyDescent="0.25">
      <c r="A25" s="3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4040-76B6-4F94-A435-7D32AA39CCD3}">
  <sheetPr>
    <tabColor rgb="FFFFFF00"/>
  </sheetPr>
  <dimension ref="A1:J25"/>
  <sheetViews>
    <sheetView workbookViewId="0">
      <selection activeCell="A28" sqref="A28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" bestFit="1" customWidth="1"/>
    <col min="4" max="4" width="9.7109375" bestFit="1" customWidth="1"/>
    <col min="5" max="5" width="6.42578125" bestFit="1" customWidth="1"/>
    <col min="6" max="6" width="5.7109375" bestFit="1" customWidth="1"/>
    <col min="8" max="8" width="15.7109375" bestFit="1" customWidth="1"/>
    <col min="9" max="9" width="16.5703125" bestFit="1" customWidth="1"/>
    <col min="10" max="10" width="20.85546875" bestFit="1" customWidth="1"/>
  </cols>
  <sheetData>
    <row r="1" spans="1:10" s="6" customFormat="1" ht="18.75" x14ac:dyDescent="0.3">
      <c r="A1" s="6" t="s">
        <v>0</v>
      </c>
      <c r="B1" s="6" t="s">
        <v>1</v>
      </c>
      <c r="C1" s="6" t="s">
        <v>493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x14ac:dyDescent="0.25">
      <c r="A2" s="2" t="s">
        <v>38</v>
      </c>
    </row>
    <row r="3" spans="1:10" x14ac:dyDescent="0.25">
      <c r="A3" s="3" t="s">
        <v>41</v>
      </c>
    </row>
    <row r="4" spans="1:10" x14ac:dyDescent="0.25">
      <c r="A4" s="2" t="s">
        <v>44</v>
      </c>
    </row>
    <row r="5" spans="1:10" x14ac:dyDescent="0.25">
      <c r="A5" s="3" t="s">
        <v>46</v>
      </c>
    </row>
    <row r="6" spans="1:10" x14ac:dyDescent="0.25">
      <c r="A6" s="2" t="s">
        <v>48</v>
      </c>
    </row>
    <row r="7" spans="1:10" x14ac:dyDescent="0.25">
      <c r="A7" s="3" t="s">
        <v>50</v>
      </c>
    </row>
    <row r="8" spans="1:10" x14ac:dyDescent="0.25">
      <c r="A8" s="2" t="s">
        <v>52</v>
      </c>
    </row>
    <row r="9" spans="1:10" x14ac:dyDescent="0.25">
      <c r="A9" s="3" t="s">
        <v>55</v>
      </c>
    </row>
    <row r="10" spans="1:10" x14ac:dyDescent="0.25">
      <c r="A10" s="2" t="s">
        <v>57</v>
      </c>
    </row>
    <row r="11" spans="1:10" x14ac:dyDescent="0.25">
      <c r="A11" s="3" t="s">
        <v>59</v>
      </c>
    </row>
    <row r="12" spans="1:10" x14ac:dyDescent="0.25">
      <c r="A12" s="2" t="s">
        <v>61</v>
      </c>
    </row>
    <row r="13" spans="1:10" x14ac:dyDescent="0.25">
      <c r="A13" s="3" t="s">
        <v>63</v>
      </c>
    </row>
    <row r="14" spans="1:10" x14ac:dyDescent="0.25">
      <c r="A14" s="2" t="s">
        <v>65</v>
      </c>
    </row>
    <row r="15" spans="1:10" x14ac:dyDescent="0.25">
      <c r="A15" s="3" t="s">
        <v>68</v>
      </c>
    </row>
    <row r="16" spans="1:10" x14ac:dyDescent="0.25">
      <c r="A16" s="2" t="s">
        <v>70</v>
      </c>
    </row>
    <row r="17" spans="1:1" x14ac:dyDescent="0.25">
      <c r="A17" s="3" t="s">
        <v>72</v>
      </c>
    </row>
    <row r="18" spans="1:1" x14ac:dyDescent="0.25">
      <c r="A18" s="2" t="s">
        <v>74</v>
      </c>
    </row>
    <row r="19" spans="1:1" x14ac:dyDescent="0.25">
      <c r="A19" s="3" t="s">
        <v>76</v>
      </c>
    </row>
    <row r="20" spans="1:1" x14ac:dyDescent="0.25">
      <c r="A20" s="2" t="s">
        <v>78</v>
      </c>
    </row>
    <row r="21" spans="1:1" x14ac:dyDescent="0.25">
      <c r="A21" s="3" t="s">
        <v>80</v>
      </c>
    </row>
    <row r="22" spans="1:1" x14ac:dyDescent="0.25">
      <c r="A22" s="2" t="s">
        <v>82</v>
      </c>
    </row>
    <row r="23" spans="1:1" x14ac:dyDescent="0.25">
      <c r="A23" s="3" t="s">
        <v>84</v>
      </c>
    </row>
    <row r="24" spans="1:1" x14ac:dyDescent="0.25">
      <c r="A24" s="2" t="s">
        <v>86</v>
      </c>
    </row>
    <row r="25" spans="1:1" x14ac:dyDescent="0.25">
      <c r="A25" s="3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8B1D-C9FB-47EE-B754-97A504AD200C}">
  <sheetPr>
    <tabColor rgb="FFFFFF00"/>
  </sheetPr>
  <dimension ref="A1:E101"/>
  <sheetViews>
    <sheetView zoomScale="115" zoomScaleNormal="115" workbookViewId="0">
      <selection activeCell="A4" sqref="A4"/>
    </sheetView>
  </sheetViews>
  <sheetFormatPr defaultRowHeight="15" x14ac:dyDescent="0.25"/>
  <cols>
    <col min="1" max="1" width="19" bestFit="1" customWidth="1"/>
  </cols>
  <sheetData>
    <row r="1" spans="1:5" ht="18.75" x14ac:dyDescent="0.3">
      <c r="A1" s="6" t="s">
        <v>0</v>
      </c>
    </row>
    <row r="2" spans="1:5" x14ac:dyDescent="0.25">
      <c r="A2" t="s">
        <v>9</v>
      </c>
    </row>
    <row r="3" spans="1:5" x14ac:dyDescent="0.25">
      <c r="A3" t="s">
        <v>16</v>
      </c>
    </row>
    <row r="4" spans="1:5" x14ac:dyDescent="0.25">
      <c r="A4" t="s">
        <v>23</v>
      </c>
    </row>
    <row r="5" spans="1:5" x14ac:dyDescent="0.25">
      <c r="A5" t="s">
        <v>27</v>
      </c>
    </row>
    <row r="6" spans="1:5" x14ac:dyDescent="0.25">
      <c r="A6" t="s">
        <v>30</v>
      </c>
    </row>
    <row r="7" spans="1:5" x14ac:dyDescent="0.25">
      <c r="A7" t="s">
        <v>34</v>
      </c>
      <c r="E7" s="8"/>
    </row>
    <row r="8" spans="1:5" x14ac:dyDescent="0.25">
      <c r="A8" t="s">
        <v>38</v>
      </c>
    </row>
    <row r="9" spans="1:5" x14ac:dyDescent="0.25">
      <c r="A9" t="s">
        <v>41</v>
      </c>
    </row>
    <row r="10" spans="1:5" x14ac:dyDescent="0.25">
      <c r="A10" t="s">
        <v>44</v>
      </c>
    </row>
    <row r="11" spans="1:5" x14ac:dyDescent="0.25">
      <c r="A11" t="s">
        <v>46</v>
      </c>
    </row>
    <row r="12" spans="1:5" x14ac:dyDescent="0.25">
      <c r="A12" t="s">
        <v>48</v>
      </c>
    </row>
    <row r="13" spans="1:5" x14ac:dyDescent="0.25">
      <c r="A13" t="s">
        <v>50</v>
      </c>
    </row>
    <row r="14" spans="1:5" x14ac:dyDescent="0.25">
      <c r="A14" t="s">
        <v>52</v>
      </c>
    </row>
    <row r="15" spans="1:5" x14ac:dyDescent="0.25">
      <c r="A15" t="s">
        <v>55</v>
      </c>
    </row>
    <row r="16" spans="1:5" x14ac:dyDescent="0.25">
      <c r="A16" t="s">
        <v>57</v>
      </c>
    </row>
    <row r="17" spans="1:1" x14ac:dyDescent="0.25">
      <c r="A17" t="s">
        <v>59</v>
      </c>
    </row>
    <row r="18" spans="1:1" x14ac:dyDescent="0.25">
      <c r="A18" t="s">
        <v>61</v>
      </c>
    </row>
    <row r="19" spans="1:1" x14ac:dyDescent="0.25">
      <c r="A19" t="s">
        <v>63</v>
      </c>
    </row>
    <row r="20" spans="1:1" x14ac:dyDescent="0.25">
      <c r="A20" t="s">
        <v>65</v>
      </c>
    </row>
    <row r="21" spans="1:1" x14ac:dyDescent="0.25">
      <c r="A21" t="s">
        <v>68</v>
      </c>
    </row>
    <row r="22" spans="1:1" x14ac:dyDescent="0.25">
      <c r="A22" t="s">
        <v>70</v>
      </c>
    </row>
    <row r="23" spans="1:1" x14ac:dyDescent="0.25">
      <c r="A23" t="s">
        <v>72</v>
      </c>
    </row>
    <row r="24" spans="1:1" x14ac:dyDescent="0.25">
      <c r="A24" t="s">
        <v>74</v>
      </c>
    </row>
    <row r="25" spans="1:1" x14ac:dyDescent="0.25">
      <c r="A25" t="s">
        <v>76</v>
      </c>
    </row>
    <row r="26" spans="1:1" x14ac:dyDescent="0.25">
      <c r="A26" t="s">
        <v>78</v>
      </c>
    </row>
    <row r="27" spans="1:1" x14ac:dyDescent="0.25">
      <c r="A27" t="s">
        <v>80</v>
      </c>
    </row>
    <row r="28" spans="1:1" x14ac:dyDescent="0.25">
      <c r="A28" t="s">
        <v>82</v>
      </c>
    </row>
    <row r="29" spans="1:1" x14ac:dyDescent="0.25">
      <c r="A29" t="s">
        <v>84</v>
      </c>
    </row>
    <row r="30" spans="1:1" x14ac:dyDescent="0.25">
      <c r="A30" t="s">
        <v>86</v>
      </c>
    </row>
    <row r="31" spans="1:1" x14ac:dyDescent="0.25">
      <c r="A31" t="s">
        <v>88</v>
      </c>
    </row>
    <row r="32" spans="1:1" x14ac:dyDescent="0.25">
      <c r="A32" t="s">
        <v>90</v>
      </c>
    </row>
    <row r="33" spans="1:1" x14ac:dyDescent="0.25">
      <c r="A33" t="s">
        <v>92</v>
      </c>
    </row>
    <row r="34" spans="1:1" x14ac:dyDescent="0.25">
      <c r="A34" t="s">
        <v>94</v>
      </c>
    </row>
    <row r="35" spans="1:1" x14ac:dyDescent="0.25">
      <c r="A35" t="s">
        <v>96</v>
      </c>
    </row>
    <row r="36" spans="1:1" x14ac:dyDescent="0.25">
      <c r="A36" t="s">
        <v>98</v>
      </c>
    </row>
    <row r="37" spans="1:1" x14ac:dyDescent="0.25">
      <c r="A37" t="s">
        <v>100</v>
      </c>
    </row>
    <row r="38" spans="1:1" x14ac:dyDescent="0.25">
      <c r="A38" t="s">
        <v>102</v>
      </c>
    </row>
    <row r="39" spans="1:1" x14ac:dyDescent="0.25">
      <c r="A39" t="s">
        <v>104</v>
      </c>
    </row>
    <row r="40" spans="1:1" x14ac:dyDescent="0.25">
      <c r="A40" t="s">
        <v>106</v>
      </c>
    </row>
    <row r="41" spans="1:1" x14ac:dyDescent="0.25">
      <c r="A41" t="s">
        <v>108</v>
      </c>
    </row>
    <row r="42" spans="1:1" x14ac:dyDescent="0.25">
      <c r="A42" t="s">
        <v>110</v>
      </c>
    </row>
    <row r="43" spans="1:1" x14ac:dyDescent="0.25">
      <c r="A43" t="s">
        <v>112</v>
      </c>
    </row>
    <row r="44" spans="1:1" x14ac:dyDescent="0.25">
      <c r="A44" t="s">
        <v>114</v>
      </c>
    </row>
    <row r="45" spans="1:1" x14ac:dyDescent="0.25">
      <c r="A45" t="s">
        <v>116</v>
      </c>
    </row>
    <row r="46" spans="1:1" x14ac:dyDescent="0.25">
      <c r="A46" t="s">
        <v>118</v>
      </c>
    </row>
    <row r="47" spans="1:1" x14ac:dyDescent="0.25">
      <c r="A47" t="s">
        <v>120</v>
      </c>
    </row>
    <row r="48" spans="1:1" x14ac:dyDescent="0.25">
      <c r="A48" t="s">
        <v>122</v>
      </c>
    </row>
    <row r="49" spans="1:1" x14ac:dyDescent="0.25">
      <c r="A49" t="s">
        <v>124</v>
      </c>
    </row>
    <row r="50" spans="1:1" x14ac:dyDescent="0.25">
      <c r="A50" t="s">
        <v>126</v>
      </c>
    </row>
    <row r="51" spans="1:1" x14ac:dyDescent="0.25">
      <c r="A51" t="s">
        <v>128</v>
      </c>
    </row>
    <row r="52" spans="1:1" x14ac:dyDescent="0.25">
      <c r="A52" t="s">
        <v>130</v>
      </c>
    </row>
    <row r="53" spans="1:1" x14ac:dyDescent="0.25">
      <c r="A53" t="s">
        <v>132</v>
      </c>
    </row>
    <row r="54" spans="1:1" x14ac:dyDescent="0.25">
      <c r="A54" t="s">
        <v>134</v>
      </c>
    </row>
    <row r="55" spans="1:1" x14ac:dyDescent="0.25">
      <c r="A55" t="s">
        <v>136</v>
      </c>
    </row>
    <row r="56" spans="1:1" x14ac:dyDescent="0.25">
      <c r="A56" t="s">
        <v>138</v>
      </c>
    </row>
    <row r="57" spans="1:1" x14ac:dyDescent="0.25">
      <c r="A57" t="s">
        <v>140</v>
      </c>
    </row>
    <row r="58" spans="1:1" x14ac:dyDescent="0.25">
      <c r="A58" t="s">
        <v>142</v>
      </c>
    </row>
    <row r="59" spans="1:1" x14ac:dyDescent="0.25">
      <c r="A59" t="s">
        <v>144</v>
      </c>
    </row>
    <row r="60" spans="1:1" x14ac:dyDescent="0.25">
      <c r="A60" t="s">
        <v>146</v>
      </c>
    </row>
    <row r="61" spans="1:1" x14ac:dyDescent="0.25">
      <c r="A61" t="s">
        <v>148</v>
      </c>
    </row>
    <row r="62" spans="1:1" x14ac:dyDescent="0.25">
      <c r="A62" t="s">
        <v>150</v>
      </c>
    </row>
    <row r="63" spans="1:1" x14ac:dyDescent="0.25">
      <c r="A63" t="s">
        <v>152</v>
      </c>
    </row>
    <row r="64" spans="1:1" x14ac:dyDescent="0.25">
      <c r="A64" t="s">
        <v>154</v>
      </c>
    </row>
    <row r="65" spans="1:1" x14ac:dyDescent="0.25">
      <c r="A65" t="s">
        <v>156</v>
      </c>
    </row>
    <row r="66" spans="1:1" x14ac:dyDescent="0.25">
      <c r="A66" t="s">
        <v>158</v>
      </c>
    </row>
    <row r="67" spans="1:1" x14ac:dyDescent="0.25">
      <c r="A67" t="s">
        <v>160</v>
      </c>
    </row>
    <row r="68" spans="1:1" x14ac:dyDescent="0.25">
      <c r="A68" t="s">
        <v>162</v>
      </c>
    </row>
    <row r="69" spans="1:1" x14ac:dyDescent="0.25">
      <c r="A69" t="s">
        <v>164</v>
      </c>
    </row>
    <row r="70" spans="1:1" x14ac:dyDescent="0.25">
      <c r="A70" t="s">
        <v>166</v>
      </c>
    </row>
    <row r="71" spans="1:1" x14ac:dyDescent="0.25">
      <c r="A71" t="s">
        <v>168</v>
      </c>
    </row>
    <row r="72" spans="1:1" x14ac:dyDescent="0.25">
      <c r="A72" t="s">
        <v>170</v>
      </c>
    </row>
    <row r="73" spans="1:1" x14ac:dyDescent="0.25">
      <c r="A73" t="s">
        <v>172</v>
      </c>
    </row>
    <row r="74" spans="1:1" x14ac:dyDescent="0.25">
      <c r="A74" t="s">
        <v>174</v>
      </c>
    </row>
    <row r="75" spans="1:1" x14ac:dyDescent="0.25">
      <c r="A75" t="s">
        <v>176</v>
      </c>
    </row>
    <row r="76" spans="1:1" x14ac:dyDescent="0.25">
      <c r="A76" t="s">
        <v>178</v>
      </c>
    </row>
    <row r="77" spans="1:1" x14ac:dyDescent="0.25">
      <c r="A77" t="s">
        <v>180</v>
      </c>
    </row>
    <row r="78" spans="1:1" x14ac:dyDescent="0.25">
      <c r="A78" t="s">
        <v>182</v>
      </c>
    </row>
    <row r="79" spans="1:1" x14ac:dyDescent="0.25">
      <c r="A79" t="s">
        <v>184</v>
      </c>
    </row>
    <row r="80" spans="1:1" x14ac:dyDescent="0.25">
      <c r="A80" t="s">
        <v>186</v>
      </c>
    </row>
    <row r="81" spans="1:1" x14ac:dyDescent="0.25">
      <c r="A81" t="s">
        <v>188</v>
      </c>
    </row>
    <row r="82" spans="1:1" x14ac:dyDescent="0.25">
      <c r="A82" t="s">
        <v>190</v>
      </c>
    </row>
    <row r="83" spans="1:1" x14ac:dyDescent="0.25">
      <c r="A83" t="s">
        <v>192</v>
      </c>
    </row>
    <row r="84" spans="1:1" x14ac:dyDescent="0.25">
      <c r="A84" t="s">
        <v>194</v>
      </c>
    </row>
    <row r="85" spans="1:1" x14ac:dyDescent="0.25">
      <c r="A85" t="s">
        <v>196</v>
      </c>
    </row>
    <row r="86" spans="1:1" x14ac:dyDescent="0.25">
      <c r="A86" t="s">
        <v>198</v>
      </c>
    </row>
    <row r="87" spans="1:1" x14ac:dyDescent="0.25">
      <c r="A87" t="s">
        <v>200</v>
      </c>
    </row>
    <row r="88" spans="1:1" x14ac:dyDescent="0.25">
      <c r="A88" t="s">
        <v>202</v>
      </c>
    </row>
    <row r="89" spans="1:1" x14ac:dyDescent="0.25">
      <c r="A89" t="s">
        <v>204</v>
      </c>
    </row>
    <row r="90" spans="1:1" x14ac:dyDescent="0.25">
      <c r="A90" t="s">
        <v>206</v>
      </c>
    </row>
    <row r="91" spans="1:1" x14ac:dyDescent="0.25">
      <c r="A91" t="s">
        <v>208</v>
      </c>
    </row>
    <row r="92" spans="1:1" x14ac:dyDescent="0.25">
      <c r="A92" t="s">
        <v>210</v>
      </c>
    </row>
    <row r="93" spans="1:1" x14ac:dyDescent="0.25">
      <c r="A93" t="s">
        <v>212</v>
      </c>
    </row>
    <row r="94" spans="1:1" x14ac:dyDescent="0.25">
      <c r="A94" t="s">
        <v>214</v>
      </c>
    </row>
    <row r="95" spans="1:1" x14ac:dyDescent="0.25">
      <c r="A95" t="s">
        <v>216</v>
      </c>
    </row>
    <row r="96" spans="1:1" x14ac:dyDescent="0.25">
      <c r="A96" t="s">
        <v>218</v>
      </c>
    </row>
    <row r="97" spans="1:1" x14ac:dyDescent="0.25">
      <c r="A97" t="s">
        <v>220</v>
      </c>
    </row>
    <row r="98" spans="1:1" x14ac:dyDescent="0.25">
      <c r="A98" t="s">
        <v>222</v>
      </c>
    </row>
    <row r="99" spans="1:1" x14ac:dyDescent="0.25">
      <c r="A99" t="s">
        <v>224</v>
      </c>
    </row>
    <row r="100" spans="1:1" x14ac:dyDescent="0.25">
      <c r="A100" t="s">
        <v>226</v>
      </c>
    </row>
    <row r="101" spans="1:1" x14ac:dyDescent="0.25">
      <c r="A101" t="s">
        <v>228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8AF4-1DCA-4365-BAD8-CC24C96C9B1D}">
  <sheetPr>
    <tabColor rgb="FFFFFF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B7D9-AD5C-4651-80FC-D3635FC8DB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B80E-8312-480F-A07B-C75003574EE0}">
  <dimension ref="A1"/>
  <sheetViews>
    <sheetView workbookViewId="0">
      <selection activeCell="O30" sqref="O3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5A8C2-D300-45D9-9949-D27E2DC6E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Students</vt:lpstr>
      <vt:lpstr>Counselors</vt:lpstr>
      <vt:lpstr>Payments</vt:lpstr>
      <vt:lpstr>Leads</vt:lpstr>
      <vt:lpstr>Refunds</vt:lpstr>
      <vt:lpstr>Lookup</vt:lpstr>
      <vt:lpstr>Index&amp;Match</vt:lpstr>
      <vt:lpstr>Filter</vt:lpstr>
      <vt:lpstr>Pivot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SHARIQ</cp:lastModifiedBy>
  <dcterms:created xsi:type="dcterms:W3CDTF">2026-02-18T13:40:40Z</dcterms:created>
  <dcterms:modified xsi:type="dcterms:W3CDTF">2026-02-21T03:42:46Z</dcterms:modified>
</cp:coreProperties>
</file>