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ham\Desktop\data-analysis-proj\__EXCEL\excelproj2\"/>
    </mc:Choice>
  </mc:AlternateContent>
  <xr:revisionPtr revIDLastSave="0" documentId="13_ncr:1_{45EEE0D7-FF62-4BE0-9BE8-56AD2971B6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nsactions" sheetId="1" r:id="rId1"/>
    <sheet name="Refund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</calcChain>
</file>

<file path=xl/sharedStrings.xml><?xml version="1.0" encoding="utf-8"?>
<sst xmlns="http://schemas.openxmlformats.org/spreadsheetml/2006/main" count="712" uniqueCount="396">
  <si>
    <t>Transaction_ID</t>
  </si>
  <si>
    <t>Student_ID</t>
  </si>
  <si>
    <t>Amount</t>
  </si>
  <si>
    <t>Payment_Date</t>
  </si>
  <si>
    <t>Payment_Mode</t>
  </si>
  <si>
    <t>T1000</t>
  </si>
  <si>
    <t>S003</t>
  </si>
  <si>
    <t>Wallet</t>
  </si>
  <si>
    <t>T1001</t>
  </si>
  <si>
    <t>S120</t>
  </si>
  <si>
    <t>Card</t>
  </si>
  <si>
    <t>T1002</t>
  </si>
  <si>
    <t>S006</t>
  </si>
  <si>
    <t>NetBanking</t>
  </si>
  <si>
    <t>T1003</t>
  </si>
  <si>
    <t>S005</t>
  </si>
  <si>
    <t>UPI</t>
  </si>
  <si>
    <t>T1004</t>
  </si>
  <si>
    <t>T1005</t>
  </si>
  <si>
    <t>S054</t>
  </si>
  <si>
    <t>T1006</t>
  </si>
  <si>
    <t>S047</t>
  </si>
  <si>
    <t>T1007</t>
  </si>
  <si>
    <t>S177</t>
  </si>
  <si>
    <t>T1008</t>
  </si>
  <si>
    <t>S009</t>
  </si>
  <si>
    <t>T1009</t>
  </si>
  <si>
    <t>S099</t>
  </si>
  <si>
    <t>T1010</t>
  </si>
  <si>
    <t>S020</t>
  </si>
  <si>
    <t>T1011</t>
  </si>
  <si>
    <t>S122</t>
  </si>
  <si>
    <t>T1012</t>
  </si>
  <si>
    <t>S061</t>
  </si>
  <si>
    <t>T1013</t>
  </si>
  <si>
    <t>S123</t>
  </si>
  <si>
    <t>T1014</t>
  </si>
  <si>
    <t>S163</t>
  </si>
  <si>
    <t>T1015</t>
  </si>
  <si>
    <t>S178</t>
  </si>
  <si>
    <t>T1016</t>
  </si>
  <si>
    <t>S082</t>
  </si>
  <si>
    <t>T1017</t>
  </si>
  <si>
    <t>S062</t>
  </si>
  <si>
    <t>T1018</t>
  </si>
  <si>
    <t>S145</t>
  </si>
  <si>
    <t>T1019</t>
  </si>
  <si>
    <t>T1020</t>
  </si>
  <si>
    <t>S160</t>
  </si>
  <si>
    <t>T1021</t>
  </si>
  <si>
    <t>S013</t>
  </si>
  <si>
    <t>T1022</t>
  </si>
  <si>
    <t>T1023</t>
  </si>
  <si>
    <t>S125</t>
  </si>
  <si>
    <t>T1024</t>
  </si>
  <si>
    <t>S089</t>
  </si>
  <si>
    <t>T1025</t>
  </si>
  <si>
    <t>S073</t>
  </si>
  <si>
    <t>T1026</t>
  </si>
  <si>
    <t>S068</t>
  </si>
  <si>
    <t>T1027</t>
  </si>
  <si>
    <t>S142</t>
  </si>
  <si>
    <t>T1028</t>
  </si>
  <si>
    <t>S101</t>
  </si>
  <si>
    <t>T1029</t>
  </si>
  <si>
    <t>S098</t>
  </si>
  <si>
    <t>T1030</t>
  </si>
  <si>
    <t>S011</t>
  </si>
  <si>
    <t>T1031</t>
  </si>
  <si>
    <t>S105</t>
  </si>
  <si>
    <t>T1032</t>
  </si>
  <si>
    <t>S184</t>
  </si>
  <si>
    <t>T1033</t>
  </si>
  <si>
    <t>S067</t>
  </si>
  <si>
    <t>T1034</t>
  </si>
  <si>
    <t>T1035</t>
  </si>
  <si>
    <t>S029</t>
  </si>
  <si>
    <t>T1036</t>
  </si>
  <si>
    <t>S137</t>
  </si>
  <si>
    <t>T1037</t>
  </si>
  <si>
    <t>S195</t>
  </si>
  <si>
    <t>T1038</t>
  </si>
  <si>
    <t>S153</t>
  </si>
  <si>
    <t>T1039</t>
  </si>
  <si>
    <t>S076</t>
  </si>
  <si>
    <t>T1040</t>
  </si>
  <si>
    <t>S170</t>
  </si>
  <si>
    <t>T1041</t>
  </si>
  <si>
    <t>T1042</t>
  </si>
  <si>
    <t>S040</t>
  </si>
  <si>
    <t>T1043</t>
  </si>
  <si>
    <t>S025</t>
  </si>
  <si>
    <t>T1044</t>
  </si>
  <si>
    <t>T1045</t>
  </si>
  <si>
    <t>S139</t>
  </si>
  <si>
    <t>T1046</t>
  </si>
  <si>
    <t>S187</t>
  </si>
  <si>
    <t>T1047</t>
  </si>
  <si>
    <t>S124</t>
  </si>
  <si>
    <t>T1048</t>
  </si>
  <si>
    <t>S038</t>
  </si>
  <si>
    <t>T1049</t>
  </si>
  <si>
    <t>S072</t>
  </si>
  <si>
    <t>T1050</t>
  </si>
  <si>
    <t>S133</t>
  </si>
  <si>
    <t>T1051</t>
  </si>
  <si>
    <t>S176</t>
  </si>
  <si>
    <t>T1052</t>
  </si>
  <si>
    <t>S090</t>
  </si>
  <si>
    <t>T1053</t>
  </si>
  <si>
    <t>S146</t>
  </si>
  <si>
    <t>T1054</t>
  </si>
  <si>
    <t>S198</t>
  </si>
  <si>
    <t>T1055</t>
  </si>
  <si>
    <t>S037</t>
  </si>
  <si>
    <t>T1056</t>
  </si>
  <si>
    <t>S060</t>
  </si>
  <si>
    <t>T1057</t>
  </si>
  <si>
    <t>T1058</t>
  </si>
  <si>
    <t>S028</t>
  </si>
  <si>
    <t>T1059</t>
  </si>
  <si>
    <t>S197</t>
  </si>
  <si>
    <t>T1060</t>
  </si>
  <si>
    <t>S081</t>
  </si>
  <si>
    <t>T1061</t>
  </si>
  <si>
    <t>S114</t>
  </si>
  <si>
    <t>T1062</t>
  </si>
  <si>
    <t>T1063</t>
  </si>
  <si>
    <t>S045</t>
  </si>
  <si>
    <t>T1064</t>
  </si>
  <si>
    <t>T1065</t>
  </si>
  <si>
    <t>S093</t>
  </si>
  <si>
    <t>T1066</t>
  </si>
  <si>
    <t>S115</t>
  </si>
  <si>
    <t>T1067</t>
  </si>
  <si>
    <t>S186</t>
  </si>
  <si>
    <t>T1068</t>
  </si>
  <si>
    <t>T1069</t>
  </si>
  <si>
    <t>S056</t>
  </si>
  <si>
    <t>T1070</t>
  </si>
  <si>
    <t>T1071</t>
  </si>
  <si>
    <t>T1072</t>
  </si>
  <si>
    <t>T1073</t>
  </si>
  <si>
    <t>S091</t>
  </si>
  <si>
    <t>T1074</t>
  </si>
  <si>
    <t>S033</t>
  </si>
  <si>
    <t>T1075</t>
  </si>
  <si>
    <t>T1076</t>
  </si>
  <si>
    <t>S147</t>
  </si>
  <si>
    <t>T1077</t>
  </si>
  <si>
    <t>S080</t>
  </si>
  <si>
    <t>T1078</t>
  </si>
  <si>
    <t>S168</t>
  </si>
  <si>
    <t>T1079</t>
  </si>
  <si>
    <t>S092</t>
  </si>
  <si>
    <t>T1080</t>
  </si>
  <si>
    <t>S097</t>
  </si>
  <si>
    <t>T1081</t>
  </si>
  <si>
    <t>S059</t>
  </si>
  <si>
    <t>T1082</t>
  </si>
  <si>
    <t>T1083</t>
  </si>
  <si>
    <t>S048</t>
  </si>
  <si>
    <t>T1084</t>
  </si>
  <si>
    <t>S169</t>
  </si>
  <si>
    <t>T1085</t>
  </si>
  <si>
    <t>T1086</t>
  </si>
  <si>
    <t>S107</t>
  </si>
  <si>
    <t>T1087</t>
  </si>
  <si>
    <t>T1088</t>
  </si>
  <si>
    <t>T1089</t>
  </si>
  <si>
    <t>S181</t>
  </si>
  <si>
    <t>T1090</t>
  </si>
  <si>
    <t>T1091</t>
  </si>
  <si>
    <t>S100</t>
  </si>
  <si>
    <t>T1092</t>
  </si>
  <si>
    <t>S191</t>
  </si>
  <si>
    <t>T1093</t>
  </si>
  <si>
    <t>S155</t>
  </si>
  <si>
    <t>T1094</t>
  </si>
  <si>
    <t>S166</t>
  </si>
  <si>
    <t>T1095</t>
  </si>
  <si>
    <t>S188</t>
  </si>
  <si>
    <t>T1096</t>
  </si>
  <si>
    <t>S007</t>
  </si>
  <si>
    <t>T1097</t>
  </si>
  <si>
    <t>T1098</t>
  </si>
  <si>
    <t>T1099</t>
  </si>
  <si>
    <t>S058</t>
  </si>
  <si>
    <t>T1100</t>
  </si>
  <si>
    <t>S031</t>
  </si>
  <si>
    <t>T1101</t>
  </si>
  <si>
    <t>S023</t>
  </si>
  <si>
    <t>T1102</t>
  </si>
  <si>
    <t>T1103</t>
  </si>
  <si>
    <t>S138</t>
  </si>
  <si>
    <t>T1104</t>
  </si>
  <si>
    <t>T1105</t>
  </si>
  <si>
    <t>T1106</t>
  </si>
  <si>
    <t>T1107</t>
  </si>
  <si>
    <t>S158</t>
  </si>
  <si>
    <t>T1108</t>
  </si>
  <si>
    <t>S039</t>
  </si>
  <si>
    <t>T1109</t>
  </si>
  <si>
    <t>S159</t>
  </si>
  <si>
    <t>T1110</t>
  </si>
  <si>
    <t>T1111</t>
  </si>
  <si>
    <t>T1112</t>
  </si>
  <si>
    <t>S002</t>
  </si>
  <si>
    <t>T1113</t>
  </si>
  <si>
    <t>S077</t>
  </si>
  <si>
    <t>T1114</t>
  </si>
  <si>
    <t>S012</t>
  </si>
  <si>
    <t>T1115</t>
  </si>
  <si>
    <t>T1116</t>
  </si>
  <si>
    <t>S194</t>
  </si>
  <si>
    <t>T1117</t>
  </si>
  <si>
    <t>T1118</t>
  </si>
  <si>
    <t>S046</t>
  </si>
  <si>
    <t>T1119</t>
  </si>
  <si>
    <t>T1120</t>
  </si>
  <si>
    <t>S113</t>
  </si>
  <si>
    <t>T1121</t>
  </si>
  <si>
    <t>S017</t>
  </si>
  <si>
    <t>T1122</t>
  </si>
  <si>
    <t>S104</t>
  </si>
  <si>
    <t>T1123</t>
  </si>
  <si>
    <t>T1124</t>
  </si>
  <si>
    <t>T1125</t>
  </si>
  <si>
    <t>S192</t>
  </si>
  <si>
    <t>T1126</t>
  </si>
  <si>
    <t>S088</t>
  </si>
  <si>
    <t>T1127</t>
  </si>
  <si>
    <t>S109</t>
  </si>
  <si>
    <t>T1128</t>
  </si>
  <si>
    <t>T1129</t>
  </si>
  <si>
    <t>S070</t>
  </si>
  <si>
    <t>T1130</t>
  </si>
  <si>
    <t>T1131</t>
  </si>
  <si>
    <t>S199</t>
  </si>
  <si>
    <t>T1132</t>
  </si>
  <si>
    <t>S074</t>
  </si>
  <si>
    <t>T1133</t>
  </si>
  <si>
    <t>S063</t>
  </si>
  <si>
    <t>T1134</t>
  </si>
  <si>
    <t>S156</t>
  </si>
  <si>
    <t>T1135</t>
  </si>
  <si>
    <t>T1136</t>
  </si>
  <si>
    <t>S079</t>
  </si>
  <si>
    <t>T1137</t>
  </si>
  <si>
    <t>T1138</t>
  </si>
  <si>
    <t>S022</t>
  </si>
  <si>
    <t>T1139</t>
  </si>
  <si>
    <t>S196</t>
  </si>
  <si>
    <t>T1140</t>
  </si>
  <si>
    <t>S148</t>
  </si>
  <si>
    <t>T1141</t>
  </si>
  <si>
    <t>S096</t>
  </si>
  <si>
    <t>T1142</t>
  </si>
  <si>
    <t>T1143</t>
  </si>
  <si>
    <t>T1144</t>
  </si>
  <si>
    <t>T1145</t>
  </si>
  <si>
    <t>T1146</t>
  </si>
  <si>
    <t>S150</t>
  </si>
  <si>
    <t>T1147</t>
  </si>
  <si>
    <t>T1148</t>
  </si>
  <si>
    <t>T1149</t>
  </si>
  <si>
    <t>S118</t>
  </si>
  <si>
    <t>T1150</t>
  </si>
  <si>
    <t>S193</t>
  </si>
  <si>
    <t>T1151</t>
  </si>
  <si>
    <t>T1152</t>
  </si>
  <si>
    <t>T1153</t>
  </si>
  <si>
    <t>S050</t>
  </si>
  <si>
    <t>T1154</t>
  </si>
  <si>
    <t>S014</t>
  </si>
  <si>
    <t>T1155</t>
  </si>
  <si>
    <t>T1156</t>
  </si>
  <si>
    <t>S175</t>
  </si>
  <si>
    <t>T1157</t>
  </si>
  <si>
    <t>T1158</t>
  </si>
  <si>
    <t>S164</t>
  </si>
  <si>
    <t>T1159</t>
  </si>
  <si>
    <t>S180</t>
  </si>
  <si>
    <t>T1160</t>
  </si>
  <si>
    <t>T1161</t>
  </si>
  <si>
    <t>T1162</t>
  </si>
  <si>
    <t>T1163</t>
  </si>
  <si>
    <t>T1164</t>
  </si>
  <si>
    <t>T1165</t>
  </si>
  <si>
    <t>S134</t>
  </si>
  <si>
    <t>T1166</t>
  </si>
  <si>
    <t>S111</t>
  </si>
  <si>
    <t>T1167</t>
  </si>
  <si>
    <t>T1168</t>
  </si>
  <si>
    <t>T1169</t>
  </si>
  <si>
    <t>S179</t>
  </si>
  <si>
    <t>T1170</t>
  </si>
  <si>
    <t>T1171</t>
  </si>
  <si>
    <t>S026</t>
  </si>
  <si>
    <t>T1172</t>
  </si>
  <si>
    <t>S174</t>
  </si>
  <si>
    <t>T1173</t>
  </si>
  <si>
    <t>T1174</t>
  </si>
  <si>
    <t>S004</t>
  </si>
  <si>
    <t>T1175</t>
  </si>
  <si>
    <t>T1176</t>
  </si>
  <si>
    <t>S141</t>
  </si>
  <si>
    <t>T1177</t>
  </si>
  <si>
    <t>T1178</t>
  </si>
  <si>
    <t>S015</t>
  </si>
  <si>
    <t>T1179</t>
  </si>
  <si>
    <t>S119</t>
  </si>
  <si>
    <t>T1180</t>
  </si>
  <si>
    <t>T1181</t>
  </si>
  <si>
    <t>S157</t>
  </si>
  <si>
    <t>T1182</t>
  </si>
  <si>
    <t>S075</t>
  </si>
  <si>
    <t>T1183</t>
  </si>
  <si>
    <t>S116</t>
  </si>
  <si>
    <t>T1184</t>
  </si>
  <si>
    <t>S032</t>
  </si>
  <si>
    <t>T1185</t>
  </si>
  <si>
    <t>S130</t>
  </si>
  <si>
    <t>T1186</t>
  </si>
  <si>
    <t>T1187</t>
  </si>
  <si>
    <t>S084</t>
  </si>
  <si>
    <t>T1188</t>
  </si>
  <si>
    <t>T1189</t>
  </si>
  <si>
    <t>S027</t>
  </si>
  <si>
    <t>T1190</t>
  </si>
  <si>
    <t>T1191</t>
  </si>
  <si>
    <t>T1192</t>
  </si>
  <si>
    <t>S126</t>
  </si>
  <si>
    <t>T1193</t>
  </si>
  <si>
    <t>T1194</t>
  </si>
  <si>
    <t>T1195</t>
  </si>
  <si>
    <t>S021</t>
  </si>
  <si>
    <t>T1196</t>
  </si>
  <si>
    <t>T1197</t>
  </si>
  <si>
    <t>T1198</t>
  </si>
  <si>
    <t>T1199</t>
  </si>
  <si>
    <t>Refund_ID</t>
  </si>
  <si>
    <t>Refund_Amount</t>
  </si>
  <si>
    <t>Refund_Date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</si>
  <si>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</si>
  <si>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</si>
  <si>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</si>
  <si>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</si>
  <si>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</si>
  <si>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</si>
  <si>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</si>
  <si>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</si>
  <si>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</si>
  <si>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</si>
  <si>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</si>
  <si>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</si>
  <si>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</si>
  <si>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</si>
  <si>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</si>
  <si>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</si>
  <si>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</si>
  <si>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</si>
  <si>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</si>
  <si>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</si>
  <si>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</si>
  <si>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</si>
  <si>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</si>
  <si>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</si>
  <si>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</si>
  <si>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R2025</t>
  </si>
  <si>
    <t>R2026</t>
  </si>
  <si>
    <t>R2027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</si>
  <si>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</si>
  <si>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</si>
  <si>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</si>
  <si>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</si>
  <si>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</si>
  <si>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</si>
  <si>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</si>
  <si>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</si>
  <si>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</si>
  <si>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</si>
  <si>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</si>
  <si>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</si>
  <si>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</si>
  <si>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</si>
  <si>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</si>
  <si>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</si>
  <si>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</si>
  <si>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</si>
  <si>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</si>
  <si>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</si>
  <si>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</si>
  <si>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</si>
  <si>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Enrollment_ID</t>
  </si>
  <si>
    <t>these enrollments id were not in Enrollments Table but we have transactions done by the students , so we created enrollment ids in enrollment table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</si>
</sst>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numFmt numFmtId="0" formatCode="General"/>
      <fill>
        <patternFill patternType="solid">
          <fgColor indexed="64"/>
          <bgColor rgb="FFFF0000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\Desktop\data-analysis-proj\__EXCEL\excelproj2\Students_Data.xlsx" TargetMode="External"/><Relationship Id="rId1" Type="http://schemas.openxmlformats.org/officeDocument/2006/relationships/externalLinkPath" Target="Student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s"/>
      <sheetName val="Enrollments"/>
    </sheetNames>
    <sheetDataSet>
      <sheetData sheetId="0"/>
      <sheetData sheetId="1">
        <row r="1">
          <cell r="A1" t="str">
            <v>Enrollment_ID</v>
          </cell>
          <cell r="B1" t="str">
            <v>Student_ID</v>
          </cell>
        </row>
        <row r="2">
          <cell r="A2" t="str">
            <v>E1000</v>
          </cell>
          <cell r="B2" t="str">
            <v>S113</v>
          </cell>
        </row>
        <row r="3">
          <cell r="A3" t="str">
            <v>E1001</v>
          </cell>
          <cell r="B3" t="str">
            <v>S153</v>
          </cell>
        </row>
        <row r="4">
          <cell r="A4" t="str">
            <v>E1002</v>
          </cell>
          <cell r="B4" t="str">
            <v>S056</v>
          </cell>
        </row>
        <row r="5">
          <cell r="A5" t="str">
            <v>E1003</v>
          </cell>
          <cell r="B5" t="str">
            <v>S161</v>
          </cell>
        </row>
        <row r="6">
          <cell r="A6" t="str">
            <v>E1004</v>
          </cell>
          <cell r="B6" t="str">
            <v>S166</v>
          </cell>
        </row>
        <row r="7">
          <cell r="A7" t="str">
            <v>E1005</v>
          </cell>
          <cell r="B7" t="str">
            <v>S117</v>
          </cell>
        </row>
        <row r="8">
          <cell r="A8" t="str">
            <v>E1006</v>
          </cell>
          <cell r="B8" t="str">
            <v>S134</v>
          </cell>
        </row>
        <row r="9">
          <cell r="A9" t="str">
            <v>E1007</v>
          </cell>
          <cell r="B9" t="str">
            <v>S058</v>
          </cell>
        </row>
        <row r="10">
          <cell r="A10" t="str">
            <v>E1008</v>
          </cell>
          <cell r="B10" t="str">
            <v>S044</v>
          </cell>
        </row>
        <row r="11">
          <cell r="A11" t="str">
            <v>E1009</v>
          </cell>
          <cell r="B11" t="str">
            <v>S173</v>
          </cell>
        </row>
        <row r="12">
          <cell r="A12" t="str">
            <v>E1010</v>
          </cell>
          <cell r="B12" t="str">
            <v>S160</v>
          </cell>
        </row>
        <row r="13">
          <cell r="A13" t="str">
            <v>E1011</v>
          </cell>
          <cell r="B13" t="str">
            <v>S173</v>
          </cell>
        </row>
        <row r="14">
          <cell r="A14" t="str">
            <v>E1012</v>
          </cell>
          <cell r="B14" t="str">
            <v>S061</v>
          </cell>
        </row>
        <row r="15">
          <cell r="A15" t="str">
            <v>E1013</v>
          </cell>
          <cell r="B15" t="str">
            <v>S047</v>
          </cell>
        </row>
        <row r="16">
          <cell r="A16" t="str">
            <v>E1014</v>
          </cell>
          <cell r="B16" t="str">
            <v>S149</v>
          </cell>
        </row>
        <row r="17">
          <cell r="A17" t="str">
            <v>E1015</v>
          </cell>
          <cell r="B17" t="str">
            <v>S080</v>
          </cell>
        </row>
        <row r="18">
          <cell r="A18" t="str">
            <v>E1016</v>
          </cell>
          <cell r="B18" t="str">
            <v>S118</v>
          </cell>
        </row>
        <row r="19">
          <cell r="A19" t="str">
            <v>E1017</v>
          </cell>
          <cell r="B19" t="str">
            <v>S164</v>
          </cell>
        </row>
        <row r="20">
          <cell r="A20" t="str">
            <v>E1018</v>
          </cell>
          <cell r="B20" t="str">
            <v>S147</v>
          </cell>
        </row>
        <row r="21">
          <cell r="A21" t="str">
            <v>E1019</v>
          </cell>
          <cell r="B21" t="str">
            <v>S020</v>
          </cell>
        </row>
        <row r="22">
          <cell r="A22" t="str">
            <v>E1020</v>
          </cell>
          <cell r="B22" t="str">
            <v>S185</v>
          </cell>
        </row>
        <row r="23">
          <cell r="A23" t="str">
            <v>E1021</v>
          </cell>
          <cell r="B23" t="str">
            <v>S146</v>
          </cell>
        </row>
        <row r="24">
          <cell r="A24" t="str">
            <v>E1022</v>
          </cell>
          <cell r="B24" t="str">
            <v>S047</v>
          </cell>
        </row>
        <row r="25">
          <cell r="A25" t="str">
            <v>E1023</v>
          </cell>
          <cell r="B25" t="str">
            <v>S049</v>
          </cell>
        </row>
        <row r="26">
          <cell r="A26" t="str">
            <v>E1024</v>
          </cell>
          <cell r="B26" t="str">
            <v>S014</v>
          </cell>
        </row>
        <row r="27">
          <cell r="A27" t="str">
            <v>E1025</v>
          </cell>
          <cell r="B27" t="str">
            <v>S143</v>
          </cell>
        </row>
        <row r="28">
          <cell r="A28" t="str">
            <v>E1026</v>
          </cell>
          <cell r="B28" t="str">
            <v>S159</v>
          </cell>
        </row>
        <row r="29">
          <cell r="A29" t="str">
            <v>E1027</v>
          </cell>
          <cell r="B29" t="str">
            <v>S001</v>
          </cell>
        </row>
        <row r="30">
          <cell r="A30" t="str">
            <v>E1028</v>
          </cell>
          <cell r="B30" t="str">
            <v>S117</v>
          </cell>
        </row>
        <row r="31">
          <cell r="A31" t="str">
            <v>E1029</v>
          </cell>
          <cell r="B31" t="str">
            <v>S054</v>
          </cell>
        </row>
        <row r="32">
          <cell r="A32" t="str">
            <v>E1030</v>
          </cell>
          <cell r="B32" t="str">
            <v>S118</v>
          </cell>
        </row>
        <row r="33">
          <cell r="A33" t="str">
            <v>E1031</v>
          </cell>
          <cell r="B33" t="str">
            <v>S003</v>
          </cell>
        </row>
        <row r="34">
          <cell r="A34" t="str">
            <v>E1032</v>
          </cell>
          <cell r="B34" t="str">
            <v>S144</v>
          </cell>
        </row>
        <row r="35">
          <cell r="A35" t="str">
            <v>E1033</v>
          </cell>
          <cell r="B35" t="str">
            <v>S185</v>
          </cell>
        </row>
        <row r="36">
          <cell r="A36" t="str">
            <v>E1034</v>
          </cell>
          <cell r="B36" t="str">
            <v>S012</v>
          </cell>
        </row>
        <row r="37">
          <cell r="A37" t="str">
            <v>E1035</v>
          </cell>
          <cell r="B37" t="str">
            <v>S074</v>
          </cell>
        </row>
        <row r="38">
          <cell r="A38" t="str">
            <v>E1036</v>
          </cell>
          <cell r="B38" t="str">
            <v>S016</v>
          </cell>
        </row>
        <row r="39">
          <cell r="A39" t="str">
            <v>E1037</v>
          </cell>
          <cell r="B39" t="str">
            <v>S200</v>
          </cell>
        </row>
        <row r="40">
          <cell r="A40" t="str">
            <v>E1038</v>
          </cell>
          <cell r="B40" t="str">
            <v>S102</v>
          </cell>
        </row>
        <row r="41">
          <cell r="A41" t="str">
            <v>E1039</v>
          </cell>
          <cell r="B41" t="str">
            <v>S152</v>
          </cell>
        </row>
        <row r="42">
          <cell r="A42" t="str">
            <v>E1040</v>
          </cell>
          <cell r="B42" t="str">
            <v>S156</v>
          </cell>
        </row>
        <row r="43">
          <cell r="A43" t="str">
            <v>E1041</v>
          </cell>
          <cell r="B43" t="str">
            <v>S117</v>
          </cell>
        </row>
        <row r="44">
          <cell r="A44" t="str">
            <v>E1042</v>
          </cell>
          <cell r="B44" t="str">
            <v>S008</v>
          </cell>
        </row>
        <row r="45">
          <cell r="A45" t="str">
            <v>E1043</v>
          </cell>
          <cell r="B45" t="str">
            <v>S122</v>
          </cell>
        </row>
        <row r="46">
          <cell r="A46" t="str">
            <v>E1044</v>
          </cell>
          <cell r="B46" t="str">
            <v>S092</v>
          </cell>
        </row>
        <row r="47">
          <cell r="A47" t="str">
            <v>E1045</v>
          </cell>
          <cell r="B47" t="str">
            <v>S164</v>
          </cell>
        </row>
        <row r="48">
          <cell r="A48" t="str">
            <v>E1046</v>
          </cell>
          <cell r="B48" t="str">
            <v>S090</v>
          </cell>
        </row>
        <row r="49">
          <cell r="A49" t="str">
            <v>E1047</v>
          </cell>
          <cell r="B49" t="str">
            <v>S136</v>
          </cell>
        </row>
        <row r="50">
          <cell r="A50" t="str">
            <v>E1048</v>
          </cell>
          <cell r="B50" t="str">
            <v>S186</v>
          </cell>
        </row>
        <row r="51">
          <cell r="A51" t="str">
            <v>E1049</v>
          </cell>
          <cell r="B51" t="str">
            <v>S060</v>
          </cell>
        </row>
        <row r="52">
          <cell r="A52" t="str">
            <v>E1050</v>
          </cell>
          <cell r="B52" t="str">
            <v>S178</v>
          </cell>
        </row>
        <row r="53">
          <cell r="A53" t="str">
            <v>E1051</v>
          </cell>
          <cell r="B53" t="str">
            <v>S028</v>
          </cell>
        </row>
        <row r="54">
          <cell r="A54" t="str">
            <v>E1052</v>
          </cell>
          <cell r="B54" t="str">
            <v>S101</v>
          </cell>
        </row>
        <row r="55">
          <cell r="A55" t="str">
            <v>E1053</v>
          </cell>
          <cell r="B55" t="str">
            <v>S041</v>
          </cell>
        </row>
        <row r="56">
          <cell r="A56" t="str">
            <v>E1054</v>
          </cell>
          <cell r="B56" t="str">
            <v>S192</v>
          </cell>
        </row>
        <row r="57">
          <cell r="A57" t="str">
            <v>E1055</v>
          </cell>
          <cell r="B57" t="str">
            <v>S155</v>
          </cell>
        </row>
        <row r="58">
          <cell r="A58" t="str">
            <v>E1056</v>
          </cell>
          <cell r="B58" t="str">
            <v>S191</v>
          </cell>
        </row>
        <row r="59">
          <cell r="A59" t="str">
            <v>E1057</v>
          </cell>
          <cell r="B59" t="str">
            <v>S145</v>
          </cell>
        </row>
        <row r="60">
          <cell r="A60" t="str">
            <v>E1058</v>
          </cell>
          <cell r="B60" t="str">
            <v>S161</v>
          </cell>
        </row>
        <row r="61">
          <cell r="A61" t="str">
            <v>E1059</v>
          </cell>
          <cell r="B61" t="str">
            <v>S157</v>
          </cell>
        </row>
        <row r="62">
          <cell r="A62" t="str">
            <v>E1060</v>
          </cell>
          <cell r="B62" t="str">
            <v>S141</v>
          </cell>
        </row>
        <row r="63">
          <cell r="A63" t="str">
            <v>E1061</v>
          </cell>
          <cell r="B63" t="str">
            <v>S046</v>
          </cell>
        </row>
        <row r="64">
          <cell r="A64" t="str">
            <v>E1062</v>
          </cell>
          <cell r="B64" t="str">
            <v>S035</v>
          </cell>
        </row>
        <row r="65">
          <cell r="A65" t="str">
            <v>E1063</v>
          </cell>
          <cell r="B65" t="str">
            <v>S134</v>
          </cell>
        </row>
        <row r="66">
          <cell r="A66" t="str">
            <v>E1064</v>
          </cell>
          <cell r="B66" t="str">
            <v>S082</v>
          </cell>
        </row>
        <row r="67">
          <cell r="A67" t="str">
            <v>E1065</v>
          </cell>
          <cell r="B67" t="str">
            <v>S115</v>
          </cell>
        </row>
        <row r="68">
          <cell r="A68" t="str">
            <v>E1066</v>
          </cell>
          <cell r="B68" t="str">
            <v>S197</v>
          </cell>
        </row>
        <row r="69">
          <cell r="A69" t="str">
            <v>E1067</v>
          </cell>
          <cell r="B69" t="str">
            <v>S047</v>
          </cell>
        </row>
        <row r="70">
          <cell r="A70" t="str">
            <v>E1068</v>
          </cell>
          <cell r="B70" t="str">
            <v>S153</v>
          </cell>
        </row>
        <row r="71">
          <cell r="A71" t="str">
            <v>E1069</v>
          </cell>
          <cell r="B71" t="str">
            <v>S194</v>
          </cell>
        </row>
        <row r="72">
          <cell r="A72" t="str">
            <v>E1070</v>
          </cell>
          <cell r="B72" t="str">
            <v>S010</v>
          </cell>
        </row>
        <row r="73">
          <cell r="A73" t="str">
            <v>E1071</v>
          </cell>
          <cell r="B73" t="str">
            <v>S056</v>
          </cell>
        </row>
        <row r="74">
          <cell r="A74" t="str">
            <v>E1072</v>
          </cell>
          <cell r="B74" t="str">
            <v>S030</v>
          </cell>
        </row>
        <row r="75">
          <cell r="A75" t="str">
            <v>E1073</v>
          </cell>
          <cell r="B75" t="str">
            <v>S109</v>
          </cell>
        </row>
        <row r="76">
          <cell r="A76" t="str">
            <v>E1074</v>
          </cell>
          <cell r="B76" t="str">
            <v>S005</v>
          </cell>
        </row>
        <row r="77">
          <cell r="A77" t="str">
            <v>E1075</v>
          </cell>
          <cell r="B77" t="str">
            <v>S119</v>
          </cell>
        </row>
        <row r="78">
          <cell r="A78" t="str">
            <v>E1076</v>
          </cell>
          <cell r="B78" t="str">
            <v>S033</v>
          </cell>
        </row>
        <row r="79">
          <cell r="A79" t="str">
            <v>E1077</v>
          </cell>
          <cell r="B79" t="str">
            <v>S118</v>
          </cell>
        </row>
        <row r="80">
          <cell r="A80" t="str">
            <v>E1078</v>
          </cell>
          <cell r="B80" t="str">
            <v>S065</v>
          </cell>
        </row>
        <row r="81">
          <cell r="A81" t="str">
            <v>E1079</v>
          </cell>
          <cell r="B81" t="str">
            <v>S146</v>
          </cell>
        </row>
        <row r="82">
          <cell r="A82" t="str">
            <v>E1080</v>
          </cell>
          <cell r="B82" t="str">
            <v>S177</v>
          </cell>
        </row>
        <row r="83">
          <cell r="A83" t="str">
            <v>E1081</v>
          </cell>
          <cell r="B83" t="str">
            <v>S011</v>
          </cell>
        </row>
        <row r="84">
          <cell r="A84" t="str">
            <v>E1082</v>
          </cell>
          <cell r="B84" t="str">
            <v>S085</v>
          </cell>
        </row>
        <row r="85">
          <cell r="A85" t="str">
            <v>E1083</v>
          </cell>
          <cell r="B85" t="str">
            <v>S026</v>
          </cell>
        </row>
        <row r="86">
          <cell r="A86" t="str">
            <v>E1084</v>
          </cell>
          <cell r="B86" t="str">
            <v>S063</v>
          </cell>
        </row>
        <row r="87">
          <cell r="A87" t="str">
            <v>E1085</v>
          </cell>
          <cell r="B87" t="str">
            <v>S086</v>
          </cell>
        </row>
        <row r="88">
          <cell r="A88" t="str">
            <v>E1086</v>
          </cell>
          <cell r="B88" t="str">
            <v>S059</v>
          </cell>
        </row>
        <row r="89">
          <cell r="A89" t="str">
            <v>E1087</v>
          </cell>
          <cell r="B89" t="str">
            <v>S027</v>
          </cell>
        </row>
        <row r="90">
          <cell r="A90" t="str">
            <v>E1088</v>
          </cell>
          <cell r="B90" t="str">
            <v>S177</v>
          </cell>
        </row>
        <row r="91">
          <cell r="A91" t="str">
            <v>E1089</v>
          </cell>
          <cell r="B91" t="str">
            <v>S161</v>
          </cell>
        </row>
        <row r="92">
          <cell r="A92" t="str">
            <v>E1090</v>
          </cell>
          <cell r="B92" t="str">
            <v>S098</v>
          </cell>
        </row>
        <row r="93">
          <cell r="A93" t="str">
            <v>E1091</v>
          </cell>
          <cell r="B93" t="str">
            <v>S105</v>
          </cell>
        </row>
        <row r="94">
          <cell r="A94" t="str">
            <v>E1092</v>
          </cell>
          <cell r="B94" t="str">
            <v>S099</v>
          </cell>
        </row>
        <row r="95">
          <cell r="A95" t="str">
            <v>E1093</v>
          </cell>
          <cell r="B95" t="str">
            <v>S129</v>
          </cell>
        </row>
        <row r="96">
          <cell r="A96" t="str">
            <v>E1094</v>
          </cell>
          <cell r="B96" t="str">
            <v>S149</v>
          </cell>
        </row>
        <row r="97">
          <cell r="A97" t="str">
            <v>E1095</v>
          </cell>
          <cell r="B97" t="str">
            <v>S055</v>
          </cell>
        </row>
        <row r="98">
          <cell r="A98" t="str">
            <v>E1096</v>
          </cell>
          <cell r="B98" t="str">
            <v>S006</v>
          </cell>
        </row>
        <row r="99">
          <cell r="A99" t="str">
            <v>E1097</v>
          </cell>
          <cell r="B99" t="str">
            <v>S197</v>
          </cell>
        </row>
        <row r="100">
          <cell r="A100" t="str">
            <v>E1098</v>
          </cell>
          <cell r="B100" t="str">
            <v>S095</v>
          </cell>
        </row>
        <row r="101">
          <cell r="A101" t="str">
            <v>E1099</v>
          </cell>
          <cell r="B101" t="str">
            <v>S133</v>
          </cell>
        </row>
        <row r="102">
          <cell r="A102" t="str">
            <v>E1100</v>
          </cell>
          <cell r="B102" t="str">
            <v>S102</v>
          </cell>
        </row>
        <row r="103">
          <cell r="A103" t="str">
            <v>E1101</v>
          </cell>
          <cell r="B103" t="str">
            <v>S003</v>
          </cell>
        </row>
        <row r="104">
          <cell r="A104" t="str">
            <v>E1102</v>
          </cell>
          <cell r="B104" t="str">
            <v>S181</v>
          </cell>
        </row>
        <row r="105">
          <cell r="A105" t="str">
            <v>E1103</v>
          </cell>
          <cell r="B105" t="str">
            <v>S023</v>
          </cell>
        </row>
        <row r="106">
          <cell r="A106" t="str">
            <v>E1104</v>
          </cell>
          <cell r="B106" t="str">
            <v>S053</v>
          </cell>
        </row>
        <row r="107">
          <cell r="A107" t="str">
            <v>E1105</v>
          </cell>
          <cell r="B107" t="str">
            <v>S165</v>
          </cell>
        </row>
        <row r="108">
          <cell r="A108" t="str">
            <v>E1106</v>
          </cell>
          <cell r="B108" t="str">
            <v>S083</v>
          </cell>
        </row>
        <row r="109">
          <cell r="A109" t="str">
            <v>E1107</v>
          </cell>
          <cell r="B109" t="str">
            <v>S145</v>
          </cell>
        </row>
        <row r="110">
          <cell r="A110" t="str">
            <v>E1108</v>
          </cell>
          <cell r="B110" t="str">
            <v>S085</v>
          </cell>
        </row>
        <row r="111">
          <cell r="A111" t="str">
            <v>E1109</v>
          </cell>
          <cell r="B111" t="str">
            <v>S078</v>
          </cell>
        </row>
        <row r="112">
          <cell r="A112" t="str">
            <v>E1110</v>
          </cell>
          <cell r="B112" t="str">
            <v>S110</v>
          </cell>
        </row>
        <row r="113">
          <cell r="A113" t="str">
            <v>E1111</v>
          </cell>
          <cell r="B113" t="str">
            <v>S001</v>
          </cell>
        </row>
        <row r="114">
          <cell r="A114" t="str">
            <v>E1112</v>
          </cell>
          <cell r="B114" t="str">
            <v>S051</v>
          </cell>
        </row>
        <row r="115">
          <cell r="A115" t="str">
            <v>E1113</v>
          </cell>
          <cell r="B115" t="str">
            <v>S173</v>
          </cell>
        </row>
        <row r="116">
          <cell r="A116" t="str">
            <v>E1114</v>
          </cell>
          <cell r="B116" t="str">
            <v>S004</v>
          </cell>
        </row>
        <row r="117">
          <cell r="A117" t="str">
            <v>E1115</v>
          </cell>
          <cell r="B117" t="str">
            <v>S190</v>
          </cell>
        </row>
        <row r="118">
          <cell r="A118" t="str">
            <v>E1116</v>
          </cell>
          <cell r="B118" t="str">
            <v>S193</v>
          </cell>
        </row>
        <row r="119">
          <cell r="A119" t="str">
            <v>E1117</v>
          </cell>
          <cell r="B119" t="str">
            <v>S113</v>
          </cell>
        </row>
        <row r="120">
          <cell r="A120" t="str">
            <v>E1118</v>
          </cell>
          <cell r="B120" t="str">
            <v>S032</v>
          </cell>
        </row>
        <row r="121">
          <cell r="A121" t="str">
            <v>E1119</v>
          </cell>
          <cell r="B121" t="str">
            <v>S034</v>
          </cell>
        </row>
        <row r="122">
          <cell r="A122" t="str">
            <v>E1120</v>
          </cell>
          <cell r="B122" t="str">
            <v>S092</v>
          </cell>
        </row>
        <row r="123">
          <cell r="A123" t="str">
            <v>E1121</v>
          </cell>
          <cell r="B123" t="str">
            <v>S095</v>
          </cell>
        </row>
        <row r="124">
          <cell r="A124" t="str">
            <v>E1122</v>
          </cell>
          <cell r="B124" t="str">
            <v>S072</v>
          </cell>
        </row>
        <row r="125">
          <cell r="A125" t="str">
            <v>E1123</v>
          </cell>
          <cell r="B125" t="str">
            <v>S039</v>
          </cell>
        </row>
        <row r="126">
          <cell r="A126" t="str">
            <v>E1124</v>
          </cell>
          <cell r="B126" t="str">
            <v>S154</v>
          </cell>
        </row>
        <row r="127">
          <cell r="A127" t="str">
            <v>E1125</v>
          </cell>
          <cell r="B127" t="str">
            <v>S162</v>
          </cell>
        </row>
        <row r="128">
          <cell r="A128" t="str">
            <v>E1126</v>
          </cell>
          <cell r="B128" t="str">
            <v>S182</v>
          </cell>
        </row>
        <row r="129">
          <cell r="A129" t="str">
            <v>E1127</v>
          </cell>
          <cell r="B129" t="str">
            <v>S118</v>
          </cell>
        </row>
        <row r="130">
          <cell r="A130" t="str">
            <v>E1128</v>
          </cell>
          <cell r="B130" t="str">
            <v>S003</v>
          </cell>
        </row>
        <row r="131">
          <cell r="A131" t="str">
            <v>E1129</v>
          </cell>
          <cell r="B131" t="str">
            <v>S123</v>
          </cell>
        </row>
        <row r="132">
          <cell r="A132" t="str">
            <v>E1130</v>
          </cell>
          <cell r="B132" t="str">
            <v>S050</v>
          </cell>
        </row>
        <row r="133">
          <cell r="A133" t="str">
            <v>E1131</v>
          </cell>
          <cell r="B133" t="str">
            <v>S012</v>
          </cell>
        </row>
        <row r="134">
          <cell r="A134" t="str">
            <v>E1132</v>
          </cell>
          <cell r="B134" t="str">
            <v>S193</v>
          </cell>
        </row>
        <row r="135">
          <cell r="A135" t="str">
            <v>E1133</v>
          </cell>
          <cell r="B135" t="str">
            <v>S054</v>
          </cell>
        </row>
        <row r="136">
          <cell r="A136" t="str">
            <v>E1134</v>
          </cell>
          <cell r="B136" t="str">
            <v>S133</v>
          </cell>
        </row>
        <row r="137">
          <cell r="A137" t="str">
            <v>E1135</v>
          </cell>
          <cell r="B137" t="str">
            <v>S057</v>
          </cell>
        </row>
        <row r="138">
          <cell r="A138" t="str">
            <v>E1136</v>
          </cell>
          <cell r="B138" t="str">
            <v>S145</v>
          </cell>
        </row>
        <row r="139">
          <cell r="A139" t="str">
            <v>E1137</v>
          </cell>
          <cell r="B139" t="str">
            <v>S112</v>
          </cell>
        </row>
        <row r="140">
          <cell r="A140" t="str">
            <v>E1138</v>
          </cell>
          <cell r="B140" t="str">
            <v>S047</v>
          </cell>
        </row>
        <row r="141">
          <cell r="A141" t="str">
            <v>E1139</v>
          </cell>
          <cell r="B141" t="str">
            <v>S151</v>
          </cell>
        </row>
        <row r="142">
          <cell r="A142" t="str">
            <v>E1140</v>
          </cell>
          <cell r="B142" t="str">
            <v>S085</v>
          </cell>
        </row>
        <row r="143">
          <cell r="A143" t="str">
            <v>E1141</v>
          </cell>
          <cell r="B143" t="str">
            <v>S142</v>
          </cell>
        </row>
        <row r="144">
          <cell r="A144" t="str">
            <v>E1142</v>
          </cell>
          <cell r="B144" t="str">
            <v>S066</v>
          </cell>
        </row>
        <row r="145">
          <cell r="A145" t="str">
            <v>E1143</v>
          </cell>
          <cell r="B145" t="str">
            <v>S075</v>
          </cell>
        </row>
        <row r="146">
          <cell r="A146" t="str">
            <v>E1144</v>
          </cell>
          <cell r="B146" t="str">
            <v>S179</v>
          </cell>
        </row>
        <row r="147">
          <cell r="A147" t="str">
            <v>E1145</v>
          </cell>
          <cell r="B147" t="str">
            <v>S103</v>
          </cell>
        </row>
        <row r="148">
          <cell r="A148" t="str">
            <v>E1146</v>
          </cell>
          <cell r="B148" t="str">
            <v>S166</v>
          </cell>
        </row>
        <row r="149">
          <cell r="A149" t="str">
            <v>E1147</v>
          </cell>
          <cell r="B149" t="str">
            <v>S192</v>
          </cell>
        </row>
        <row r="150">
          <cell r="A150" t="str">
            <v>E1148</v>
          </cell>
          <cell r="B150" t="str">
            <v>S038</v>
          </cell>
        </row>
        <row r="151">
          <cell r="A151" t="str">
            <v>E1149</v>
          </cell>
          <cell r="B151" t="str">
            <v>S050</v>
          </cell>
        </row>
        <row r="152">
          <cell r="A152" t="str">
            <v>E1150</v>
          </cell>
          <cell r="B152" t="str">
            <v>S098</v>
          </cell>
        </row>
        <row r="153">
          <cell r="A153" t="str">
            <v>E1151</v>
          </cell>
          <cell r="B153" t="str">
            <v>S082</v>
          </cell>
        </row>
        <row r="154">
          <cell r="A154" t="str">
            <v>E1152</v>
          </cell>
          <cell r="B154" t="str">
            <v>S030</v>
          </cell>
        </row>
        <row r="155">
          <cell r="A155" t="str">
            <v>E1153</v>
          </cell>
          <cell r="B155" t="str">
            <v>S079</v>
          </cell>
        </row>
        <row r="156">
          <cell r="A156" t="str">
            <v>E1154</v>
          </cell>
          <cell r="B156" t="str">
            <v>S091</v>
          </cell>
        </row>
        <row r="157">
          <cell r="A157" t="str">
            <v>E1155</v>
          </cell>
          <cell r="B157" t="str">
            <v>S179</v>
          </cell>
        </row>
        <row r="158">
          <cell r="A158" t="str">
            <v>E1156</v>
          </cell>
          <cell r="B158" t="str">
            <v>S191</v>
          </cell>
        </row>
        <row r="159">
          <cell r="A159" t="str">
            <v>E1157</v>
          </cell>
          <cell r="B159" t="str">
            <v>S052</v>
          </cell>
        </row>
        <row r="160">
          <cell r="A160" t="str">
            <v>E1158</v>
          </cell>
          <cell r="B160" t="str">
            <v>S166</v>
          </cell>
        </row>
        <row r="161">
          <cell r="A161" t="str">
            <v>E1159</v>
          </cell>
          <cell r="B161" t="str">
            <v>S079</v>
          </cell>
        </row>
        <row r="162">
          <cell r="A162" t="str">
            <v>E1160</v>
          </cell>
          <cell r="B162" t="str">
            <v>S030</v>
          </cell>
        </row>
        <row r="163">
          <cell r="A163" t="str">
            <v>E1161</v>
          </cell>
          <cell r="B163" t="str">
            <v>S106</v>
          </cell>
        </row>
        <row r="164">
          <cell r="A164" t="str">
            <v>E1162</v>
          </cell>
          <cell r="B164" t="str">
            <v>S051</v>
          </cell>
        </row>
        <row r="165">
          <cell r="A165" t="str">
            <v>E1163</v>
          </cell>
          <cell r="B165" t="str">
            <v>S081</v>
          </cell>
        </row>
        <row r="166">
          <cell r="A166" t="str">
            <v>E1164</v>
          </cell>
          <cell r="B166" t="str">
            <v>S133</v>
          </cell>
        </row>
        <row r="167">
          <cell r="A167" t="str">
            <v>E1165</v>
          </cell>
          <cell r="B167" t="str">
            <v>S029</v>
          </cell>
        </row>
        <row r="168">
          <cell r="A168" t="str">
            <v>E1166</v>
          </cell>
          <cell r="B168" t="str">
            <v>S132</v>
          </cell>
        </row>
        <row r="169">
          <cell r="A169" t="str">
            <v>E1167</v>
          </cell>
          <cell r="B169" t="str">
            <v>S138</v>
          </cell>
        </row>
        <row r="170">
          <cell r="A170" t="str">
            <v>E1168</v>
          </cell>
          <cell r="B170" t="str">
            <v>S184</v>
          </cell>
        </row>
        <row r="171">
          <cell r="A171" t="str">
            <v>E1169</v>
          </cell>
          <cell r="B171" t="str">
            <v>S145</v>
          </cell>
        </row>
        <row r="172">
          <cell r="A172" t="str">
            <v>E1170</v>
          </cell>
          <cell r="B172" t="str">
            <v>S074</v>
          </cell>
        </row>
        <row r="173">
          <cell r="A173" t="str">
            <v>E1171</v>
          </cell>
          <cell r="B173" t="str">
            <v>S017</v>
          </cell>
        </row>
        <row r="174">
          <cell r="A174" t="str">
            <v>E1172</v>
          </cell>
          <cell r="B174" t="str">
            <v>S084</v>
          </cell>
        </row>
        <row r="175">
          <cell r="A175" t="str">
            <v>E1173</v>
          </cell>
          <cell r="B175" t="str">
            <v>S069</v>
          </cell>
        </row>
        <row r="176">
          <cell r="A176" t="str">
            <v>E1174</v>
          </cell>
          <cell r="B176" t="str">
            <v>S034</v>
          </cell>
        </row>
        <row r="177">
          <cell r="A177" t="str">
            <v>E1175</v>
          </cell>
          <cell r="B177" t="str">
            <v>S006</v>
          </cell>
        </row>
        <row r="178">
          <cell r="A178" t="str">
            <v>E1176</v>
          </cell>
          <cell r="B178" t="str">
            <v>S053</v>
          </cell>
        </row>
        <row r="179">
          <cell r="A179" t="str">
            <v>E1177</v>
          </cell>
          <cell r="B179" t="str">
            <v>S194</v>
          </cell>
        </row>
        <row r="180">
          <cell r="A180" t="str">
            <v>E1178</v>
          </cell>
          <cell r="B180" t="str">
            <v>S126</v>
          </cell>
        </row>
        <row r="181">
          <cell r="A181" t="str">
            <v>E1179</v>
          </cell>
          <cell r="B181" t="str">
            <v>S043</v>
          </cell>
        </row>
        <row r="182">
          <cell r="A182" t="str">
            <v>E1180</v>
          </cell>
          <cell r="B182" t="str">
            <v>S115</v>
          </cell>
        </row>
        <row r="183">
          <cell r="A183" t="str">
            <v>E1181</v>
          </cell>
          <cell r="B183" t="str">
            <v>S111</v>
          </cell>
        </row>
        <row r="184">
          <cell r="A184" t="str">
            <v>E1182</v>
          </cell>
          <cell r="B184" t="str">
            <v>S151</v>
          </cell>
        </row>
        <row r="185">
          <cell r="A185" t="str">
            <v>E1183</v>
          </cell>
          <cell r="B185" t="str">
            <v>S183</v>
          </cell>
        </row>
        <row r="186">
          <cell r="A186" t="str">
            <v>E1184</v>
          </cell>
          <cell r="B186" t="str">
            <v>S080</v>
          </cell>
        </row>
        <row r="187">
          <cell r="A187" t="str">
            <v>E1185</v>
          </cell>
          <cell r="B187" t="str">
            <v>S095</v>
          </cell>
        </row>
        <row r="188">
          <cell r="A188" t="str">
            <v>E1186</v>
          </cell>
          <cell r="B188" t="str">
            <v>S118</v>
          </cell>
        </row>
        <row r="189">
          <cell r="A189" t="str">
            <v>E1187</v>
          </cell>
          <cell r="B189" t="str">
            <v>S144</v>
          </cell>
        </row>
        <row r="190">
          <cell r="A190" t="str">
            <v>E1188</v>
          </cell>
          <cell r="B190" t="str">
            <v>S008</v>
          </cell>
        </row>
        <row r="191">
          <cell r="A191" t="str">
            <v>E1189</v>
          </cell>
          <cell r="B191" t="str">
            <v>S132</v>
          </cell>
        </row>
        <row r="192">
          <cell r="A192" t="str">
            <v>E1190</v>
          </cell>
          <cell r="B192" t="str">
            <v>S104</v>
          </cell>
        </row>
        <row r="193">
          <cell r="A193" t="str">
            <v>E1191</v>
          </cell>
          <cell r="B193" t="str">
            <v>S132</v>
          </cell>
        </row>
        <row r="194">
          <cell r="A194" t="str">
            <v>E1192</v>
          </cell>
          <cell r="B194" t="str">
            <v>S184</v>
          </cell>
        </row>
        <row r="195">
          <cell r="A195" t="str">
            <v>E1193</v>
          </cell>
          <cell r="B195" t="str">
            <v>S025</v>
          </cell>
        </row>
        <row r="196">
          <cell r="A196" t="str">
            <v>E1194</v>
          </cell>
          <cell r="B196" t="str">
            <v>S195</v>
          </cell>
        </row>
        <row r="197">
          <cell r="A197" t="str">
            <v>E1195</v>
          </cell>
          <cell r="B197" t="str">
            <v>S096</v>
          </cell>
        </row>
        <row r="198">
          <cell r="A198" t="str">
            <v>E1196</v>
          </cell>
          <cell r="B198" t="str">
            <v>S195</v>
          </cell>
        </row>
        <row r="199">
          <cell r="A199" t="str">
            <v>E1197</v>
          </cell>
          <cell r="B199" t="str">
            <v>S155</v>
          </cell>
        </row>
        <row r="200">
          <cell r="A200" t="str">
            <v>E1198</v>
          </cell>
          <cell r="B200" t="str">
            <v>S093</v>
          </cell>
        </row>
        <row r="201">
          <cell r="A201" t="str">
            <v>E1199</v>
          </cell>
          <cell r="B201" t="str">
            <v>S160</v>
          </cell>
        </row>
        <row r="202">
          <cell r="A202" t="str">
            <v>E1200</v>
          </cell>
          <cell r="B202" t="str">
            <v>S120</v>
          </cell>
        </row>
        <row r="203">
          <cell r="A203" t="str">
            <v>E1201</v>
          </cell>
          <cell r="B203" t="str">
            <v>S009</v>
          </cell>
        </row>
        <row r="204">
          <cell r="A204" t="str">
            <v>E1202</v>
          </cell>
          <cell r="B204" t="str">
            <v>S163</v>
          </cell>
        </row>
        <row r="205">
          <cell r="A205" t="str">
            <v>E1203</v>
          </cell>
          <cell r="B205" t="str">
            <v>S062</v>
          </cell>
        </row>
        <row r="206">
          <cell r="A206" t="str">
            <v>E1204</v>
          </cell>
          <cell r="B206" t="str">
            <v>S013</v>
          </cell>
        </row>
        <row r="207">
          <cell r="A207" t="str">
            <v>E1205</v>
          </cell>
          <cell r="B207" t="str">
            <v>S120</v>
          </cell>
        </row>
        <row r="208">
          <cell r="A208" t="str">
            <v>E1206</v>
          </cell>
          <cell r="B208" t="str">
            <v>S125</v>
          </cell>
        </row>
        <row r="209">
          <cell r="A209" t="str">
            <v>E1207</v>
          </cell>
          <cell r="B209" t="str">
            <v>S089</v>
          </cell>
        </row>
        <row r="210">
          <cell r="A210" t="str">
            <v>E1208</v>
          </cell>
          <cell r="B210" t="str">
            <v>S073</v>
          </cell>
        </row>
        <row r="211">
          <cell r="A211" t="str">
            <v>E1209</v>
          </cell>
          <cell r="B211" t="str">
            <v>S068</v>
          </cell>
        </row>
        <row r="212">
          <cell r="A212" t="str">
            <v>E1210</v>
          </cell>
          <cell r="B212" t="str">
            <v>S067</v>
          </cell>
        </row>
        <row r="213">
          <cell r="A213" t="str">
            <v>E1211</v>
          </cell>
          <cell r="B213" t="str">
            <v>S137</v>
          </cell>
        </row>
        <row r="214">
          <cell r="A214" t="str">
            <v>E1212</v>
          </cell>
          <cell r="B214" t="str">
            <v>S076</v>
          </cell>
        </row>
        <row r="215">
          <cell r="A215" t="str">
            <v>E1213</v>
          </cell>
          <cell r="B215" t="str">
            <v>S170</v>
          </cell>
        </row>
        <row r="216">
          <cell r="A216" t="str">
            <v>E1214</v>
          </cell>
          <cell r="B216" t="str">
            <v>S009</v>
          </cell>
        </row>
        <row r="217">
          <cell r="A217" t="str">
            <v>E1215</v>
          </cell>
          <cell r="B217" t="str">
            <v>S040</v>
          </cell>
        </row>
        <row r="218">
          <cell r="A218" t="str">
            <v>E1216</v>
          </cell>
          <cell r="B218" t="str">
            <v>S139</v>
          </cell>
        </row>
        <row r="219">
          <cell r="A219" t="str">
            <v>E1217</v>
          </cell>
          <cell r="B219" t="str">
            <v>S187</v>
          </cell>
        </row>
        <row r="220">
          <cell r="A220" t="str">
            <v>E1218</v>
          </cell>
          <cell r="B220" t="str">
            <v>S124</v>
          </cell>
        </row>
        <row r="221">
          <cell r="A221" t="str">
            <v>E1219</v>
          </cell>
          <cell r="B221" t="str">
            <v>S176</v>
          </cell>
        </row>
        <row r="222">
          <cell r="A222" t="str">
            <v>E1220</v>
          </cell>
          <cell r="B222" t="str">
            <v>S198</v>
          </cell>
        </row>
        <row r="223">
          <cell r="A223" t="str">
            <v>E1221</v>
          </cell>
          <cell r="B223" t="str">
            <v>S037</v>
          </cell>
        </row>
        <row r="224">
          <cell r="A224" t="str">
            <v>E1222</v>
          </cell>
          <cell r="B224" t="str">
            <v>S176</v>
          </cell>
        </row>
        <row r="225">
          <cell r="A225" t="str">
            <v>E1223</v>
          </cell>
          <cell r="B225" t="str">
            <v>S114</v>
          </cell>
        </row>
        <row r="226">
          <cell r="A226" t="str">
            <v>E1224</v>
          </cell>
          <cell r="B226" t="str">
            <v>S040</v>
          </cell>
        </row>
        <row r="227">
          <cell r="A227" t="str">
            <v>E1225</v>
          </cell>
          <cell r="B227" t="str">
            <v>S045</v>
          </cell>
        </row>
        <row r="228">
          <cell r="A228" t="str">
            <v>E1226</v>
          </cell>
          <cell r="B228" t="str">
            <v>S062</v>
          </cell>
        </row>
        <row r="229">
          <cell r="A229" t="str">
            <v>E1227</v>
          </cell>
          <cell r="B229" t="str">
            <v>S067</v>
          </cell>
        </row>
        <row r="230">
          <cell r="A230" t="str">
            <v>E1228</v>
          </cell>
          <cell r="B230" t="str">
            <v>S040</v>
          </cell>
        </row>
        <row r="231">
          <cell r="A231" t="str">
            <v>E1229</v>
          </cell>
          <cell r="B231" t="str">
            <v>S040</v>
          </cell>
        </row>
        <row r="232">
          <cell r="A232" t="str">
            <v>E1230</v>
          </cell>
          <cell r="B232" t="str">
            <v>S168</v>
          </cell>
        </row>
        <row r="233">
          <cell r="A233" t="str">
            <v>E1231</v>
          </cell>
          <cell r="B233" t="str">
            <v>S097</v>
          </cell>
        </row>
        <row r="234">
          <cell r="A234" t="str">
            <v>E1232</v>
          </cell>
          <cell r="B234" t="str">
            <v>S048</v>
          </cell>
        </row>
        <row r="235">
          <cell r="A235" t="str">
            <v>E1233</v>
          </cell>
          <cell r="B235" t="str">
            <v>S169</v>
          </cell>
        </row>
        <row r="236">
          <cell r="A236" t="str">
            <v>E1234</v>
          </cell>
          <cell r="B236" t="str">
            <v>S013</v>
          </cell>
        </row>
        <row r="237">
          <cell r="A237" t="str">
            <v>E1235</v>
          </cell>
          <cell r="B237" t="str">
            <v>S107</v>
          </cell>
        </row>
        <row r="238">
          <cell r="A238" t="str">
            <v>E1236</v>
          </cell>
          <cell r="B238" t="str">
            <v>S045</v>
          </cell>
        </row>
        <row r="239">
          <cell r="A239" t="str">
            <v>E1237</v>
          </cell>
          <cell r="B239" t="str">
            <v>S089</v>
          </cell>
        </row>
        <row r="240">
          <cell r="A240" t="str">
            <v>E1238</v>
          </cell>
          <cell r="B240" t="str">
            <v>S170</v>
          </cell>
        </row>
        <row r="241">
          <cell r="A241" t="str">
            <v>E1239</v>
          </cell>
          <cell r="B241" t="str">
            <v>S100</v>
          </cell>
        </row>
        <row r="242">
          <cell r="A242" t="str">
            <v>E1240</v>
          </cell>
          <cell r="B242" t="str">
            <v>S188</v>
          </cell>
        </row>
        <row r="243">
          <cell r="A243" t="str">
            <v>E1241</v>
          </cell>
          <cell r="B243" t="str">
            <v>S007</v>
          </cell>
        </row>
        <row r="244">
          <cell r="A244" t="str">
            <v>E1242</v>
          </cell>
          <cell r="B244" t="str">
            <v>S045</v>
          </cell>
        </row>
        <row r="245">
          <cell r="A245" t="str">
            <v>E1243</v>
          </cell>
          <cell r="B245" t="str">
            <v>S031</v>
          </cell>
        </row>
        <row r="246">
          <cell r="A246" t="str">
            <v>E1244</v>
          </cell>
          <cell r="B246" t="str">
            <v>S170</v>
          </cell>
        </row>
        <row r="247">
          <cell r="A247" t="str">
            <v>E1245</v>
          </cell>
          <cell r="B247" t="str">
            <v>S107</v>
          </cell>
        </row>
        <row r="248">
          <cell r="A248" t="str">
            <v>E1246</v>
          </cell>
          <cell r="B248" t="str">
            <v>S158</v>
          </cell>
        </row>
        <row r="249">
          <cell r="A249" t="str">
            <v>E1247</v>
          </cell>
          <cell r="B249" t="str">
            <v>S100</v>
          </cell>
        </row>
        <row r="250">
          <cell r="A250" t="str">
            <v>E1248</v>
          </cell>
          <cell r="B250" t="str">
            <v>S002</v>
          </cell>
        </row>
        <row r="251">
          <cell r="A251" t="str">
            <v>E1249</v>
          </cell>
          <cell r="B251" t="str">
            <v>S077</v>
          </cell>
        </row>
        <row r="252">
          <cell r="A252" t="str">
            <v>E1250</v>
          </cell>
          <cell r="B252" t="str">
            <v>S013</v>
          </cell>
        </row>
        <row r="253">
          <cell r="A253" t="str">
            <v>E1251</v>
          </cell>
          <cell r="B253" t="str">
            <v>S188</v>
          </cell>
        </row>
        <row r="254">
          <cell r="A254" t="str">
            <v>E1252</v>
          </cell>
          <cell r="B254" t="str">
            <v>S088</v>
          </cell>
        </row>
        <row r="255">
          <cell r="A255" t="str">
            <v>E1253</v>
          </cell>
          <cell r="B255" t="str">
            <v>S163</v>
          </cell>
        </row>
        <row r="256">
          <cell r="A256" t="str">
            <v>E1254</v>
          </cell>
          <cell r="B256" t="str">
            <v>S070</v>
          </cell>
        </row>
        <row r="257">
          <cell r="A257" t="str">
            <v>E1255</v>
          </cell>
          <cell r="B257" t="str">
            <v>S158</v>
          </cell>
        </row>
        <row r="258">
          <cell r="A258" t="str">
            <v>E1256</v>
          </cell>
          <cell r="B258" t="str">
            <v>S199</v>
          </cell>
        </row>
        <row r="259">
          <cell r="A259" t="str">
            <v>E1257</v>
          </cell>
          <cell r="B259" t="str">
            <v>S037</v>
          </cell>
        </row>
        <row r="260">
          <cell r="A260" t="str">
            <v>E1258</v>
          </cell>
          <cell r="B260" t="str">
            <v>S022</v>
          </cell>
        </row>
        <row r="261">
          <cell r="A261" t="str">
            <v>E1259</v>
          </cell>
          <cell r="B261" t="str">
            <v>S196</v>
          </cell>
        </row>
        <row r="262">
          <cell r="A262" t="str">
            <v>E1260</v>
          </cell>
          <cell r="B262" t="str">
            <v>S148</v>
          </cell>
        </row>
        <row r="263">
          <cell r="A263" t="str">
            <v>E1261</v>
          </cell>
          <cell r="B263" t="str">
            <v>S068</v>
          </cell>
        </row>
        <row r="264">
          <cell r="A264" t="str">
            <v>E1262</v>
          </cell>
          <cell r="B264" t="str">
            <v>S150</v>
          </cell>
        </row>
        <row r="265">
          <cell r="A265" t="str">
            <v>E1263</v>
          </cell>
          <cell r="B265" t="str">
            <v>S022</v>
          </cell>
        </row>
        <row r="266">
          <cell r="A266" t="str">
            <v>E1264</v>
          </cell>
          <cell r="B266" t="str">
            <v>S120</v>
          </cell>
        </row>
        <row r="267">
          <cell r="A267" t="str">
            <v>E1265</v>
          </cell>
          <cell r="B267" t="str">
            <v>S175</v>
          </cell>
        </row>
        <row r="268">
          <cell r="A268" t="str">
            <v>E1266</v>
          </cell>
          <cell r="B268" t="str">
            <v>S180</v>
          </cell>
        </row>
        <row r="269">
          <cell r="A269" t="str">
            <v>E1267</v>
          </cell>
          <cell r="B269" t="str">
            <v>S125</v>
          </cell>
        </row>
        <row r="270">
          <cell r="A270" t="str">
            <v>E1268</v>
          </cell>
          <cell r="B270" t="str">
            <v>S007</v>
          </cell>
        </row>
        <row r="271">
          <cell r="A271" t="str">
            <v>E1269</v>
          </cell>
          <cell r="B271" t="str">
            <v>S139</v>
          </cell>
        </row>
        <row r="272">
          <cell r="A272" t="str">
            <v>E1270</v>
          </cell>
          <cell r="B272" t="str">
            <v>S174</v>
          </cell>
        </row>
        <row r="273">
          <cell r="A273" t="str">
            <v>E1271</v>
          </cell>
          <cell r="B273" t="str">
            <v>S015</v>
          </cell>
        </row>
        <row r="274">
          <cell r="A274" t="str">
            <v>E1272</v>
          </cell>
          <cell r="B274" t="str">
            <v>S116</v>
          </cell>
        </row>
        <row r="275">
          <cell r="A275" t="str">
            <v>E1273</v>
          </cell>
          <cell r="B275" t="str">
            <v>S130</v>
          </cell>
        </row>
        <row r="276">
          <cell r="A276" t="str">
            <v>E1274</v>
          </cell>
          <cell r="B276" t="str">
            <v>S175</v>
          </cell>
        </row>
        <row r="277">
          <cell r="A277" t="str">
            <v>E1275</v>
          </cell>
          <cell r="B277" t="str">
            <v>S022</v>
          </cell>
        </row>
        <row r="278">
          <cell r="A278" t="str">
            <v>E1276</v>
          </cell>
          <cell r="B278" t="str">
            <v>S021</v>
          </cell>
        </row>
        <row r="279">
          <cell r="A279" t="str">
            <v>E1277</v>
          </cell>
          <cell r="B279" t="str">
            <v>S187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51680-FEFC-409C-B1F3-13E07AF24CE3}" name="Transactions" displayName="Transactions" ref="A1:F201" totalsRowShown="0" headerRowDxfId="9" headerRowBorderDxfId="8" tableBorderDxfId="7">
  <autoFilter ref="A1:F201" xr:uid="{E5151680-FEFC-409C-B1F3-13E07AF24CE3}"/>
  <tableColumns count="6">
    <tableColumn id="1" xr3:uid="{D1604055-6454-42D7-AF51-C84F1A5C06E5}" name="Transaction_ID"/>
    <tableColumn id="2" xr3:uid="{13DB4587-6C6D-425F-A7F8-824B750DAAF7}" name="Student_ID"/>
    <tableColumn id="6" xr3:uid="{05F4750B-6717-4C15-ABE9-5D49778E3851}" name="Enrollment_ID" dataDxfId="6">
      <calculatedColumnFormula>INDEX([1]Enrollments!$A:$A,MATCH(Transactions[[#This Row],[Student_ID]],[1]Enrollments!$B:$B,0))</calculatedColumnFormula>
    </tableColumn>
    <tableColumn id="3" xr3:uid="{2E87E7D1-42BE-4594-A493-8C197D794DB6}" name="Amount"/>
    <tableColumn id="4" xr3:uid="{C783E5F3-C3CA-4CC2-814E-597353F96D18}" name="Payment_Date" dataDxfId="5"/>
    <tableColumn id="5" xr3:uid="{2A19A8A0-E8B2-4D4C-8CEC-FFF6ACE2F449}" name="Payment_M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3016E1-B799-4237-B8BA-1BE3D627E0FA}" name="Refunds" displayName="Refunds" ref="A1:E51" totalsRowShown="0" headerRowDxfId="4" headerRowBorderDxfId="3" tableBorderDxfId="2">
  <autoFilter ref="A1:E51" xr:uid="{6E3016E1-B799-4237-B8BA-1BE3D627E0FA}"/>
  <tableColumns count="5">
    <tableColumn id="1" xr3:uid="{2EDDA8E0-B8C1-47B2-B759-AE893BCAD6A7}" name="Refund_ID"/>
    <tableColumn id="2" xr3:uid="{44250AD2-FCDC-43C9-8B0F-5AF644288CF3}" name="Transaction_ID"/>
    <tableColumn id="5" xr3:uid="{2089B42C-7331-44AF-84DE-2C91A336F192}" name="Enrollment_ID" dataDxfId="0">
      <calculatedColumnFormula>_xlfn.XLOOKUP(Refunds[[#This Row],[Transaction_ID]],Transactions!A:A,Transactions!C:C)</calculatedColumnFormula>
    </tableColumn>
    <tableColumn id="3" xr3:uid="{1E442772-278F-43BD-BAD1-EDBD84B300E2}" name="Refund_Amount"/>
    <tableColumn id="4" xr3:uid="{B91B208E-ED4A-425F-8D4D-6E5434DD6E4C}" name="Refund_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workbookViewId="0">
      <selection activeCell="N22" sqref="N22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8.42578125" bestFit="1" customWidth="1"/>
    <col min="5" max="5" width="18.7109375" bestFit="1" customWidth="1"/>
    <col min="6" max="6" width="19.85546875" bestFit="1" customWidth="1"/>
  </cols>
  <sheetData>
    <row r="1" spans="1:15" x14ac:dyDescent="0.25">
      <c r="A1" s="2" t="s">
        <v>0</v>
      </c>
      <c r="B1" s="2" t="s">
        <v>1</v>
      </c>
      <c r="C1" s="3" t="s">
        <v>394</v>
      </c>
      <c r="D1" s="2" t="s">
        <v>2</v>
      </c>
      <c r="E1" s="2" t="s">
        <v>3</v>
      </c>
      <c r="F1" s="2" t="s">
        <v>4</v>
      </c>
    </row>
    <row r="2" spans="1:15" x14ac:dyDescent="0.25">
      <c r="A2" t="s">
        <v>5</v>
      </c>
      <c r="B2" t="s">
        <v>6</v>
      </c>
      <c r="C2" t="str">
        <f>INDEX([1]Enrollments!$A:$A,MATCH(Transactions[[#This Row],[Student_ID]],[1]Enrollments!$B:$B,0))</f>
        <v>E1031</v>
      </c>
      <c r="D2">
        <v>7000</v>
      </c>
      <c r="E2" s="1">
        <v>45331.877229390673</v>
      </c>
      <c r="F2" t="s">
        <v>7</v>
      </c>
    </row>
    <row r="3" spans="1:15" x14ac:dyDescent="0.25">
      <c r="A3" t="s">
        <v>8</v>
      </c>
      <c r="B3" t="s">
        <v>9</v>
      </c>
      <c r="C3" s="4" t="str">
        <f>INDEX([1]Enrollments!$A:$A,MATCH(Transactions[[#This Row],[Student_ID]],[1]Enrollments!$B:$B,0))</f>
        <v>E1200</v>
      </c>
      <c r="D3">
        <v>9000</v>
      </c>
      <c r="E3" s="1">
        <v>45451.570605907058</v>
      </c>
      <c r="F3" t="s">
        <v>10</v>
      </c>
    </row>
    <row r="4" spans="1:15" x14ac:dyDescent="0.25">
      <c r="A4" t="s">
        <v>11</v>
      </c>
      <c r="B4" t="s">
        <v>12</v>
      </c>
      <c r="C4" t="str">
        <f>INDEX([1]Enrollments!$A:$A,MATCH(Transactions[[#This Row],[Student_ID]],[1]Enrollments!$B:$B,0))</f>
        <v>E1096</v>
      </c>
      <c r="D4">
        <v>5000</v>
      </c>
      <c r="E4" s="1">
        <v>45425.765431773667</v>
      </c>
      <c r="F4" t="s">
        <v>13</v>
      </c>
      <c r="J4" s="4"/>
      <c r="K4" s="5" t="s">
        <v>395</v>
      </c>
      <c r="L4" s="5"/>
      <c r="M4" s="5"/>
      <c r="N4" s="5"/>
      <c r="O4" s="5"/>
    </row>
    <row r="5" spans="1:15" x14ac:dyDescent="0.25">
      <c r="A5" t="s">
        <v>14</v>
      </c>
      <c r="B5" t="s">
        <v>15</v>
      </c>
      <c r="C5" t="str">
        <f>INDEX([1]Enrollments!$A:$A,MATCH(Transactions[[#This Row],[Student_ID]],[1]Enrollments!$B:$B,0))</f>
        <v>E1074</v>
      </c>
      <c r="D5">
        <v>5000</v>
      </c>
      <c r="E5" s="1">
        <v>45394.144556141262</v>
      </c>
      <c r="F5" t="s">
        <v>16</v>
      </c>
      <c r="K5" s="5"/>
      <c r="L5" s="5"/>
      <c r="M5" s="5"/>
      <c r="N5" s="5"/>
      <c r="O5" s="5"/>
    </row>
    <row r="6" spans="1:15" x14ac:dyDescent="0.25">
      <c r="A6" t="s">
        <v>17</v>
      </c>
      <c r="B6" t="s">
        <v>15</v>
      </c>
      <c r="C6" t="str">
        <f>INDEX([1]Enrollments!$A:$A,MATCH(Transactions[[#This Row],[Student_ID]],[1]Enrollments!$B:$B,0))</f>
        <v>E1074</v>
      </c>
      <c r="D6">
        <v>9000</v>
      </c>
      <c r="E6" s="1">
        <v>45405.406619534711</v>
      </c>
      <c r="F6" t="s">
        <v>13</v>
      </c>
      <c r="K6" s="5"/>
      <c r="L6" s="5"/>
      <c r="M6" s="5"/>
      <c r="N6" s="5"/>
      <c r="O6" s="5"/>
    </row>
    <row r="7" spans="1:15" x14ac:dyDescent="0.25">
      <c r="A7" t="s">
        <v>18</v>
      </c>
      <c r="B7" t="s">
        <v>19</v>
      </c>
      <c r="C7" t="str">
        <f>INDEX([1]Enrollments!$A:$A,MATCH(Transactions[[#This Row],[Student_ID]],[1]Enrollments!$B:$B,0))</f>
        <v>E1029</v>
      </c>
      <c r="D7">
        <v>9000</v>
      </c>
      <c r="E7" s="1">
        <v>45437.682750319633</v>
      </c>
      <c r="F7" t="s">
        <v>7</v>
      </c>
      <c r="K7" s="5"/>
      <c r="L7" s="5"/>
      <c r="M7" s="5"/>
      <c r="N7" s="5"/>
      <c r="O7" s="5"/>
    </row>
    <row r="8" spans="1:15" x14ac:dyDescent="0.25">
      <c r="A8" t="s">
        <v>20</v>
      </c>
      <c r="B8" t="s">
        <v>21</v>
      </c>
      <c r="C8" t="str">
        <f>INDEX([1]Enrollments!$A:$A,MATCH(Transactions[[#This Row],[Student_ID]],[1]Enrollments!$B:$B,0))</f>
        <v>E1013</v>
      </c>
      <c r="D8">
        <v>5000</v>
      </c>
      <c r="E8" s="1">
        <v>45341.005584042257</v>
      </c>
      <c r="F8" t="s">
        <v>13</v>
      </c>
    </row>
    <row r="9" spans="1:15" x14ac:dyDescent="0.25">
      <c r="A9" t="s">
        <v>22</v>
      </c>
      <c r="B9" t="s">
        <v>23</v>
      </c>
      <c r="C9" t="str">
        <f>INDEX([1]Enrollments!$A:$A,MATCH(Transactions[[#This Row],[Student_ID]],[1]Enrollments!$B:$B,0))</f>
        <v>E1080</v>
      </c>
      <c r="D9">
        <v>7000</v>
      </c>
      <c r="E9" s="1">
        <v>45492.27778146317</v>
      </c>
      <c r="F9" t="s">
        <v>7</v>
      </c>
    </row>
    <row r="10" spans="1:15" x14ac:dyDescent="0.25">
      <c r="A10" t="s">
        <v>24</v>
      </c>
      <c r="B10" t="s">
        <v>25</v>
      </c>
      <c r="C10" s="4" t="str">
        <f>INDEX([1]Enrollments!$A:$A,MATCH(Transactions[[#This Row],[Student_ID]],[1]Enrollments!$B:$B,0))</f>
        <v>E1201</v>
      </c>
      <c r="D10">
        <v>12000</v>
      </c>
      <c r="E10" s="1">
        <v>45488.034252942904</v>
      </c>
      <c r="F10" t="s">
        <v>7</v>
      </c>
    </row>
    <row r="11" spans="1:15" x14ac:dyDescent="0.25">
      <c r="A11" t="s">
        <v>26</v>
      </c>
      <c r="B11" t="s">
        <v>27</v>
      </c>
      <c r="C11" t="str">
        <f>INDEX([1]Enrollments!$A:$A,MATCH(Transactions[[#This Row],[Student_ID]],[1]Enrollments!$B:$B,0))</f>
        <v>E1092</v>
      </c>
      <c r="D11">
        <v>7000</v>
      </c>
      <c r="E11" s="1">
        <v>45424.114160210338</v>
      </c>
      <c r="F11" t="s">
        <v>10</v>
      </c>
    </row>
    <row r="12" spans="1:15" x14ac:dyDescent="0.25">
      <c r="A12" t="s">
        <v>28</v>
      </c>
      <c r="B12" t="s">
        <v>29</v>
      </c>
      <c r="C12" t="str">
        <f>INDEX([1]Enrollments!$A:$A,MATCH(Transactions[[#This Row],[Student_ID]],[1]Enrollments!$B:$B,0))</f>
        <v>E1019</v>
      </c>
      <c r="D12">
        <v>9000</v>
      </c>
      <c r="E12" s="1">
        <v>45335.309862833034</v>
      </c>
      <c r="F12" t="s">
        <v>7</v>
      </c>
    </row>
    <row r="13" spans="1:15" x14ac:dyDescent="0.25">
      <c r="A13" t="s">
        <v>30</v>
      </c>
      <c r="B13" t="s">
        <v>31</v>
      </c>
      <c r="C13" t="str">
        <f>INDEX([1]Enrollments!$A:$A,MATCH(Transactions[[#This Row],[Student_ID]],[1]Enrollments!$B:$B,0))</f>
        <v>E1043</v>
      </c>
      <c r="D13">
        <v>7000</v>
      </c>
      <c r="E13" s="1">
        <v>45430.004963758962</v>
      </c>
      <c r="F13" t="s">
        <v>10</v>
      </c>
    </row>
    <row r="14" spans="1:15" x14ac:dyDescent="0.25">
      <c r="A14" t="s">
        <v>32</v>
      </c>
      <c r="B14" t="s">
        <v>33</v>
      </c>
      <c r="C14" t="str">
        <f>INDEX([1]Enrollments!$A:$A,MATCH(Transactions[[#This Row],[Student_ID]],[1]Enrollments!$B:$B,0))</f>
        <v>E1012</v>
      </c>
      <c r="D14">
        <v>5000</v>
      </c>
      <c r="E14" s="1">
        <v>45310.223086568891</v>
      </c>
      <c r="F14" t="s">
        <v>10</v>
      </c>
    </row>
    <row r="15" spans="1:15" x14ac:dyDescent="0.25">
      <c r="A15" t="s">
        <v>34</v>
      </c>
      <c r="B15" t="s">
        <v>35</v>
      </c>
      <c r="C15" t="str">
        <f>INDEX([1]Enrollments!$A:$A,MATCH(Transactions[[#This Row],[Student_ID]],[1]Enrollments!$B:$B,0))</f>
        <v>E1129</v>
      </c>
      <c r="D15">
        <v>9000</v>
      </c>
      <c r="E15" s="1">
        <v>45302.038542934541</v>
      </c>
      <c r="F15" t="s">
        <v>10</v>
      </c>
    </row>
    <row r="16" spans="1:15" x14ac:dyDescent="0.25">
      <c r="A16" t="s">
        <v>36</v>
      </c>
      <c r="B16" t="s">
        <v>37</v>
      </c>
      <c r="C16" s="4" t="str">
        <f>INDEX([1]Enrollments!$A:$A,MATCH(Transactions[[#This Row],[Student_ID]],[1]Enrollments!$B:$B,0))</f>
        <v>E1202</v>
      </c>
      <c r="D16">
        <v>12000</v>
      </c>
      <c r="E16" s="1">
        <v>45346.763529036703</v>
      </c>
      <c r="F16" t="s">
        <v>16</v>
      </c>
    </row>
    <row r="17" spans="1:6" x14ac:dyDescent="0.25">
      <c r="A17" t="s">
        <v>38</v>
      </c>
      <c r="B17" t="s">
        <v>39</v>
      </c>
      <c r="C17" t="str">
        <f>INDEX([1]Enrollments!$A:$A,MATCH(Transactions[[#This Row],[Student_ID]],[1]Enrollments!$B:$B,0))</f>
        <v>E1050</v>
      </c>
      <c r="D17">
        <v>5000</v>
      </c>
      <c r="E17" s="1">
        <v>45387.13672247764</v>
      </c>
      <c r="F17" t="s">
        <v>16</v>
      </c>
    </row>
    <row r="18" spans="1:6" x14ac:dyDescent="0.25">
      <c r="A18" t="s">
        <v>40</v>
      </c>
      <c r="B18" t="s">
        <v>41</v>
      </c>
      <c r="C18" t="str">
        <f>INDEX([1]Enrollments!$A:$A,MATCH(Transactions[[#This Row],[Student_ID]],[1]Enrollments!$B:$B,0))</f>
        <v>E1064</v>
      </c>
      <c r="D18">
        <v>5000</v>
      </c>
      <c r="E18" s="1">
        <v>45467.049683565441</v>
      </c>
      <c r="F18" t="s">
        <v>7</v>
      </c>
    </row>
    <row r="19" spans="1:6" x14ac:dyDescent="0.25">
      <c r="A19" t="s">
        <v>42</v>
      </c>
      <c r="B19" t="s">
        <v>43</v>
      </c>
      <c r="C19" s="4" t="str">
        <f>INDEX([1]Enrollments!$A:$A,MATCH(Transactions[[#This Row],[Student_ID]],[1]Enrollments!$B:$B,0))</f>
        <v>E1203</v>
      </c>
      <c r="D19">
        <v>12000</v>
      </c>
      <c r="E19" s="1">
        <v>45439.252306743962</v>
      </c>
      <c r="F19" t="s">
        <v>10</v>
      </c>
    </row>
    <row r="20" spans="1:6" x14ac:dyDescent="0.25">
      <c r="A20" t="s">
        <v>44</v>
      </c>
      <c r="B20" t="s">
        <v>45</v>
      </c>
      <c r="C20" t="str">
        <f>INDEX([1]Enrollments!$A:$A,MATCH(Transactions[[#This Row],[Student_ID]],[1]Enrollments!$B:$B,0))</f>
        <v>E1057</v>
      </c>
      <c r="D20">
        <v>12000</v>
      </c>
      <c r="E20" s="1">
        <v>45442.313184676394</v>
      </c>
      <c r="F20" t="s">
        <v>16</v>
      </c>
    </row>
    <row r="21" spans="1:6" x14ac:dyDescent="0.25">
      <c r="A21" t="s">
        <v>46</v>
      </c>
      <c r="B21" t="s">
        <v>6</v>
      </c>
      <c r="C21" t="str">
        <f>INDEX([1]Enrollments!$A:$A,MATCH(Transactions[[#This Row],[Student_ID]],[1]Enrollments!$B:$B,0))</f>
        <v>E1031</v>
      </c>
      <c r="D21">
        <v>7000</v>
      </c>
      <c r="E21" s="1">
        <v>45379.82218688626</v>
      </c>
      <c r="F21" t="s">
        <v>10</v>
      </c>
    </row>
    <row r="22" spans="1:6" x14ac:dyDescent="0.25">
      <c r="A22" t="s">
        <v>47</v>
      </c>
      <c r="B22" t="s">
        <v>48</v>
      </c>
      <c r="C22" t="str">
        <f>INDEX([1]Enrollments!$A:$A,MATCH(Transactions[[#This Row],[Student_ID]],[1]Enrollments!$B:$B,0))</f>
        <v>E1010</v>
      </c>
      <c r="D22">
        <v>9000</v>
      </c>
      <c r="E22" s="1">
        <v>45364.149193531754</v>
      </c>
      <c r="F22" t="s">
        <v>13</v>
      </c>
    </row>
    <row r="23" spans="1:6" x14ac:dyDescent="0.25">
      <c r="A23" t="s">
        <v>49</v>
      </c>
      <c r="B23" t="s">
        <v>50</v>
      </c>
      <c r="C23" s="4" t="str">
        <f>INDEX([1]Enrollments!$A:$A,MATCH(Transactions[[#This Row],[Student_ID]],[1]Enrollments!$B:$B,0))</f>
        <v>E1204</v>
      </c>
      <c r="D23">
        <v>12000</v>
      </c>
      <c r="E23" s="1">
        <v>45369.094636307957</v>
      </c>
      <c r="F23" t="s">
        <v>13</v>
      </c>
    </row>
    <row r="24" spans="1:6" x14ac:dyDescent="0.25">
      <c r="A24" t="s">
        <v>51</v>
      </c>
      <c r="B24" t="s">
        <v>9</v>
      </c>
      <c r="C24" s="4" t="str">
        <f>INDEX([1]Enrollments!$A:$A,MATCH(Transactions[[#This Row],[Student_ID]],[1]Enrollments!$B:$B,0))</f>
        <v>E1200</v>
      </c>
      <c r="D24">
        <v>12000</v>
      </c>
      <c r="E24" s="1">
        <v>45490.566964055994</v>
      </c>
      <c r="F24" t="s">
        <v>13</v>
      </c>
    </row>
    <row r="25" spans="1:6" x14ac:dyDescent="0.25">
      <c r="A25" t="s">
        <v>52</v>
      </c>
      <c r="B25" t="s">
        <v>53</v>
      </c>
      <c r="C25" s="4" t="str">
        <f>INDEX([1]Enrollments!$A:$A,MATCH(Transactions[[#This Row],[Student_ID]],[1]Enrollments!$B:$B,0))</f>
        <v>E1206</v>
      </c>
      <c r="D25">
        <v>9000</v>
      </c>
      <c r="E25" s="1">
        <v>45303.901510708252</v>
      </c>
      <c r="F25" t="s">
        <v>7</v>
      </c>
    </row>
    <row r="26" spans="1:6" x14ac:dyDescent="0.25">
      <c r="A26" t="s">
        <v>54</v>
      </c>
      <c r="B26" t="s">
        <v>55</v>
      </c>
      <c r="C26" s="4" t="str">
        <f>INDEX([1]Enrollments!$A:$A,MATCH(Transactions[[#This Row],[Student_ID]],[1]Enrollments!$B:$B,0))</f>
        <v>E1207</v>
      </c>
      <c r="D26">
        <v>12000</v>
      </c>
      <c r="E26" s="1">
        <v>45466.805204736113</v>
      </c>
      <c r="F26" t="s">
        <v>10</v>
      </c>
    </row>
    <row r="27" spans="1:6" x14ac:dyDescent="0.25">
      <c r="A27" t="s">
        <v>56</v>
      </c>
      <c r="B27" t="s">
        <v>57</v>
      </c>
      <c r="C27" s="4" t="str">
        <f>INDEX([1]Enrollments!$A:$A,MATCH(Transactions[[#This Row],[Student_ID]],[1]Enrollments!$B:$B,0))</f>
        <v>E1208</v>
      </c>
      <c r="D27">
        <v>12000</v>
      </c>
      <c r="E27" s="1">
        <v>45409.999055488748</v>
      </c>
      <c r="F27" t="s">
        <v>13</v>
      </c>
    </row>
    <row r="28" spans="1:6" x14ac:dyDescent="0.25">
      <c r="A28" t="s">
        <v>58</v>
      </c>
      <c r="B28" t="s">
        <v>59</v>
      </c>
      <c r="C28" s="4" t="str">
        <f>INDEX([1]Enrollments!$A:$A,MATCH(Transactions[[#This Row],[Student_ID]],[1]Enrollments!$B:$B,0))</f>
        <v>E1209</v>
      </c>
      <c r="D28">
        <v>7000</v>
      </c>
      <c r="E28" s="1">
        <v>45382.407237580337</v>
      </c>
      <c r="F28" t="s">
        <v>16</v>
      </c>
    </row>
    <row r="29" spans="1:6" x14ac:dyDescent="0.25">
      <c r="A29" t="s">
        <v>60</v>
      </c>
      <c r="B29" t="s">
        <v>61</v>
      </c>
      <c r="C29" t="str">
        <f>INDEX([1]Enrollments!$A:$A,MATCH(Transactions[[#This Row],[Student_ID]],[1]Enrollments!$B:$B,0))</f>
        <v>E1141</v>
      </c>
      <c r="D29">
        <v>5000</v>
      </c>
      <c r="E29" s="1">
        <v>45438.875759101793</v>
      </c>
      <c r="F29" t="s">
        <v>13</v>
      </c>
    </row>
    <row r="30" spans="1:6" x14ac:dyDescent="0.25">
      <c r="A30" t="s">
        <v>62</v>
      </c>
      <c r="B30" t="s">
        <v>63</v>
      </c>
      <c r="C30" t="str">
        <f>INDEX([1]Enrollments!$A:$A,MATCH(Transactions[[#This Row],[Student_ID]],[1]Enrollments!$B:$B,0))</f>
        <v>E1052</v>
      </c>
      <c r="D30">
        <v>5000</v>
      </c>
      <c r="E30" s="1">
        <v>45391.873781460657</v>
      </c>
      <c r="F30" t="s">
        <v>13</v>
      </c>
    </row>
    <row r="31" spans="1:6" x14ac:dyDescent="0.25">
      <c r="A31" t="s">
        <v>64</v>
      </c>
      <c r="B31" t="s">
        <v>65</v>
      </c>
      <c r="C31" t="str">
        <f>INDEX([1]Enrollments!$A:$A,MATCH(Transactions[[#This Row],[Student_ID]],[1]Enrollments!$B:$B,0))</f>
        <v>E1090</v>
      </c>
      <c r="D31">
        <v>5000</v>
      </c>
      <c r="E31" s="1">
        <v>45468.064377902083</v>
      </c>
      <c r="F31" t="s">
        <v>13</v>
      </c>
    </row>
    <row r="32" spans="1:6" x14ac:dyDescent="0.25">
      <c r="A32" t="s">
        <v>66</v>
      </c>
      <c r="B32" t="s">
        <v>67</v>
      </c>
      <c r="C32" t="str">
        <f>INDEX([1]Enrollments!$A:$A,MATCH(Transactions[[#This Row],[Student_ID]],[1]Enrollments!$B:$B,0))</f>
        <v>E1081</v>
      </c>
      <c r="D32">
        <v>5000</v>
      </c>
      <c r="E32" s="1">
        <v>45473.438267210207</v>
      </c>
      <c r="F32" t="s">
        <v>7</v>
      </c>
    </row>
    <row r="33" spans="1:6" x14ac:dyDescent="0.25">
      <c r="A33" t="s">
        <v>68</v>
      </c>
      <c r="B33" t="s">
        <v>69</v>
      </c>
      <c r="C33" t="str">
        <f>INDEX([1]Enrollments!$A:$A,MATCH(Transactions[[#This Row],[Student_ID]],[1]Enrollments!$B:$B,0))</f>
        <v>E1091</v>
      </c>
      <c r="D33">
        <v>12000</v>
      </c>
      <c r="E33" s="1">
        <v>45379.079022594073</v>
      </c>
      <c r="F33" t="s">
        <v>16</v>
      </c>
    </row>
    <row r="34" spans="1:6" x14ac:dyDescent="0.25">
      <c r="A34" t="s">
        <v>70</v>
      </c>
      <c r="B34" t="s">
        <v>71</v>
      </c>
      <c r="C34" t="str">
        <f>INDEX([1]Enrollments!$A:$A,MATCH(Transactions[[#This Row],[Student_ID]],[1]Enrollments!$B:$B,0))</f>
        <v>E1168</v>
      </c>
      <c r="D34">
        <v>9000</v>
      </c>
      <c r="E34" s="1">
        <v>45350.535076055297</v>
      </c>
      <c r="F34" t="s">
        <v>10</v>
      </c>
    </row>
    <row r="35" spans="1:6" x14ac:dyDescent="0.25">
      <c r="A35" t="s">
        <v>72</v>
      </c>
      <c r="B35" t="s">
        <v>73</v>
      </c>
      <c r="C35" s="4" t="str">
        <f>INDEX([1]Enrollments!$A:$A,MATCH(Transactions[[#This Row],[Student_ID]],[1]Enrollments!$B:$B,0))</f>
        <v>E1210</v>
      </c>
      <c r="D35">
        <v>9000</v>
      </c>
      <c r="E35" s="1">
        <v>45412.693014732882</v>
      </c>
      <c r="F35" t="s">
        <v>16</v>
      </c>
    </row>
    <row r="36" spans="1:6" x14ac:dyDescent="0.25">
      <c r="A36" t="s">
        <v>74</v>
      </c>
      <c r="B36" t="s">
        <v>35</v>
      </c>
      <c r="C36" t="str">
        <f>INDEX([1]Enrollments!$A:$A,MATCH(Transactions[[#This Row],[Student_ID]],[1]Enrollments!$B:$B,0))</f>
        <v>E1129</v>
      </c>
      <c r="D36">
        <v>7000</v>
      </c>
      <c r="E36" s="1">
        <v>45475.735579086482</v>
      </c>
      <c r="F36" t="s">
        <v>10</v>
      </c>
    </row>
    <row r="37" spans="1:6" x14ac:dyDescent="0.25">
      <c r="A37" t="s">
        <v>75</v>
      </c>
      <c r="B37" t="s">
        <v>76</v>
      </c>
      <c r="C37" t="str">
        <f>INDEX([1]Enrollments!$A:$A,MATCH(Transactions[[#This Row],[Student_ID]],[1]Enrollments!$B:$B,0))</f>
        <v>E1165</v>
      </c>
      <c r="D37">
        <v>7000</v>
      </c>
      <c r="E37" s="1">
        <v>45337.500451234111</v>
      </c>
      <c r="F37" t="s">
        <v>7</v>
      </c>
    </row>
    <row r="38" spans="1:6" x14ac:dyDescent="0.25">
      <c r="A38" t="s">
        <v>77</v>
      </c>
      <c r="B38" t="s">
        <v>78</v>
      </c>
      <c r="C38" s="4" t="str">
        <f>INDEX([1]Enrollments!$A:$A,MATCH(Transactions[[#This Row],[Student_ID]],[1]Enrollments!$B:$B,0))</f>
        <v>E1211</v>
      </c>
      <c r="D38">
        <v>12000</v>
      </c>
      <c r="E38" s="1">
        <v>45418.724416962003</v>
      </c>
      <c r="F38" t="s">
        <v>7</v>
      </c>
    </row>
    <row r="39" spans="1:6" x14ac:dyDescent="0.25">
      <c r="A39" t="s">
        <v>79</v>
      </c>
      <c r="B39" t="s">
        <v>80</v>
      </c>
      <c r="C39" t="str">
        <f>INDEX([1]Enrollments!$A:$A,MATCH(Transactions[[#This Row],[Student_ID]],[1]Enrollments!$B:$B,0))</f>
        <v>E1194</v>
      </c>
      <c r="D39">
        <v>9000</v>
      </c>
      <c r="E39" s="1">
        <v>45420.417363358218</v>
      </c>
      <c r="F39" t="s">
        <v>7</v>
      </c>
    </row>
    <row r="40" spans="1:6" x14ac:dyDescent="0.25">
      <c r="A40" t="s">
        <v>81</v>
      </c>
      <c r="B40" t="s">
        <v>82</v>
      </c>
      <c r="C40" t="str">
        <f>INDEX([1]Enrollments!$A:$A,MATCH(Transactions[[#This Row],[Student_ID]],[1]Enrollments!$B:$B,0))</f>
        <v>E1001</v>
      </c>
      <c r="D40">
        <v>9000</v>
      </c>
      <c r="E40" s="1">
        <v>45440.423265415811</v>
      </c>
      <c r="F40" t="s">
        <v>7</v>
      </c>
    </row>
    <row r="41" spans="1:6" x14ac:dyDescent="0.25">
      <c r="A41" t="s">
        <v>83</v>
      </c>
      <c r="B41" t="s">
        <v>84</v>
      </c>
      <c r="C41" s="4" t="str">
        <f>INDEX([1]Enrollments!$A:$A,MATCH(Transactions[[#This Row],[Student_ID]],[1]Enrollments!$B:$B,0))</f>
        <v>E1212</v>
      </c>
      <c r="D41">
        <v>5000</v>
      </c>
      <c r="E41" s="1">
        <v>45321.91883397007</v>
      </c>
      <c r="F41" t="s">
        <v>10</v>
      </c>
    </row>
    <row r="42" spans="1:6" x14ac:dyDescent="0.25">
      <c r="A42" t="s">
        <v>85</v>
      </c>
      <c r="B42" t="s">
        <v>86</v>
      </c>
      <c r="C42" s="4" t="str">
        <f>INDEX([1]Enrollments!$A:$A,MATCH(Transactions[[#This Row],[Student_ID]],[1]Enrollments!$B:$B,0))</f>
        <v>E1213</v>
      </c>
      <c r="D42">
        <v>12000</v>
      </c>
      <c r="E42" s="1">
        <v>45437.017518042361</v>
      </c>
      <c r="F42" t="s">
        <v>13</v>
      </c>
    </row>
    <row r="43" spans="1:6" x14ac:dyDescent="0.25">
      <c r="A43" t="s">
        <v>87</v>
      </c>
      <c r="B43" t="s">
        <v>25</v>
      </c>
      <c r="C43" s="4" t="str">
        <f>INDEX([1]Enrollments!$A:$A,MATCH(Transactions[[#This Row],[Student_ID]],[1]Enrollments!$B:$B,0))</f>
        <v>E1201</v>
      </c>
      <c r="D43">
        <v>12000</v>
      </c>
      <c r="E43" s="1">
        <v>45475.079406571123</v>
      </c>
      <c r="F43" t="s">
        <v>10</v>
      </c>
    </row>
    <row r="44" spans="1:6" x14ac:dyDescent="0.25">
      <c r="A44" t="s">
        <v>88</v>
      </c>
      <c r="B44" t="s">
        <v>89</v>
      </c>
      <c r="C44" s="4" t="str">
        <f>INDEX([1]Enrollments!$A:$A,MATCH(Transactions[[#This Row],[Student_ID]],[1]Enrollments!$B:$B,0))</f>
        <v>E1215</v>
      </c>
      <c r="D44">
        <v>5000</v>
      </c>
      <c r="E44" s="1">
        <v>45331.397572447429</v>
      </c>
      <c r="F44" t="s">
        <v>16</v>
      </c>
    </row>
    <row r="45" spans="1:6" x14ac:dyDescent="0.25">
      <c r="A45" t="s">
        <v>90</v>
      </c>
      <c r="B45" t="s">
        <v>91</v>
      </c>
      <c r="C45" t="str">
        <f>INDEX([1]Enrollments!$A:$A,MATCH(Transactions[[#This Row],[Student_ID]],[1]Enrollments!$B:$B,0))</f>
        <v>E1193</v>
      </c>
      <c r="D45">
        <v>12000</v>
      </c>
      <c r="E45" s="1">
        <v>45342.796035009997</v>
      </c>
      <c r="F45" t="s">
        <v>7</v>
      </c>
    </row>
    <row r="46" spans="1:6" x14ac:dyDescent="0.25">
      <c r="A46" t="s">
        <v>92</v>
      </c>
      <c r="B46" t="s">
        <v>15</v>
      </c>
      <c r="C46" t="str">
        <f>INDEX([1]Enrollments!$A:$A,MATCH(Transactions[[#This Row],[Student_ID]],[1]Enrollments!$B:$B,0))</f>
        <v>E1074</v>
      </c>
      <c r="D46">
        <v>12000</v>
      </c>
      <c r="E46" s="1">
        <v>45487.36483352619</v>
      </c>
      <c r="F46" t="s">
        <v>7</v>
      </c>
    </row>
    <row r="47" spans="1:6" x14ac:dyDescent="0.25">
      <c r="A47" t="s">
        <v>93</v>
      </c>
      <c r="B47" t="s">
        <v>94</v>
      </c>
      <c r="C47" s="4" t="str">
        <f>INDEX([1]Enrollments!$A:$A,MATCH(Transactions[[#This Row],[Student_ID]],[1]Enrollments!$B:$B,0))</f>
        <v>E1216</v>
      </c>
      <c r="D47">
        <v>7000</v>
      </c>
      <c r="E47" s="1">
        <v>45331.652459683763</v>
      </c>
      <c r="F47" t="s">
        <v>16</v>
      </c>
    </row>
    <row r="48" spans="1:6" x14ac:dyDescent="0.25">
      <c r="A48" t="s">
        <v>95</v>
      </c>
      <c r="B48" t="s">
        <v>96</v>
      </c>
      <c r="C48" s="4" t="str">
        <f>INDEX([1]Enrollments!$A:$A,MATCH(Transactions[[#This Row],[Student_ID]],[1]Enrollments!$B:$B,0))</f>
        <v>E1217</v>
      </c>
      <c r="D48">
        <v>9000</v>
      </c>
      <c r="E48" s="1">
        <v>45464.3138633938</v>
      </c>
      <c r="F48" t="s">
        <v>10</v>
      </c>
    </row>
    <row r="49" spans="1:6" x14ac:dyDescent="0.25">
      <c r="A49" t="s">
        <v>97</v>
      </c>
      <c r="B49" t="s">
        <v>98</v>
      </c>
      <c r="C49" s="4" t="str">
        <f>INDEX([1]Enrollments!$A:$A,MATCH(Transactions[[#This Row],[Student_ID]],[1]Enrollments!$B:$B,0))</f>
        <v>E1218</v>
      </c>
      <c r="D49">
        <v>12000</v>
      </c>
      <c r="E49" s="1">
        <v>45392.978737720252</v>
      </c>
      <c r="F49" t="s">
        <v>13</v>
      </c>
    </row>
    <row r="50" spans="1:6" x14ac:dyDescent="0.25">
      <c r="A50" t="s">
        <v>99</v>
      </c>
      <c r="B50" t="s">
        <v>100</v>
      </c>
      <c r="C50" t="str">
        <f>INDEX([1]Enrollments!$A:$A,MATCH(Transactions[[#This Row],[Student_ID]],[1]Enrollments!$B:$B,0))</f>
        <v>E1148</v>
      </c>
      <c r="D50">
        <v>7000</v>
      </c>
      <c r="E50" s="1">
        <v>45344.704521657419</v>
      </c>
      <c r="F50" t="s">
        <v>13</v>
      </c>
    </row>
    <row r="51" spans="1:6" x14ac:dyDescent="0.25">
      <c r="A51" t="s">
        <v>101</v>
      </c>
      <c r="B51" t="s">
        <v>102</v>
      </c>
      <c r="C51" t="str">
        <f>INDEX([1]Enrollments!$A:$A,MATCH(Transactions[[#This Row],[Student_ID]],[1]Enrollments!$B:$B,0))</f>
        <v>E1122</v>
      </c>
      <c r="D51">
        <v>9000</v>
      </c>
      <c r="E51" s="1">
        <v>45467.537730550677</v>
      </c>
      <c r="F51" t="s">
        <v>16</v>
      </c>
    </row>
    <row r="52" spans="1:6" x14ac:dyDescent="0.25">
      <c r="A52" t="s">
        <v>103</v>
      </c>
      <c r="B52" t="s">
        <v>104</v>
      </c>
      <c r="C52" t="str">
        <f>INDEX([1]Enrollments!$A:$A,MATCH(Transactions[[#This Row],[Student_ID]],[1]Enrollments!$B:$B,0))</f>
        <v>E1099</v>
      </c>
      <c r="D52">
        <v>5000</v>
      </c>
      <c r="E52" s="1">
        <v>45383.725135235523</v>
      </c>
      <c r="F52" t="s">
        <v>13</v>
      </c>
    </row>
    <row r="53" spans="1:6" x14ac:dyDescent="0.25">
      <c r="A53" t="s">
        <v>105</v>
      </c>
      <c r="B53" t="s">
        <v>106</v>
      </c>
      <c r="C53" s="4" t="str">
        <f>INDEX([1]Enrollments!$A:$A,MATCH(Transactions[[#This Row],[Student_ID]],[1]Enrollments!$B:$B,0))</f>
        <v>E1219</v>
      </c>
      <c r="D53">
        <v>7000</v>
      </c>
      <c r="E53" s="1">
        <v>45397.41901872414</v>
      </c>
      <c r="F53" t="s">
        <v>10</v>
      </c>
    </row>
    <row r="54" spans="1:6" x14ac:dyDescent="0.25">
      <c r="A54" t="s">
        <v>107</v>
      </c>
      <c r="B54" t="s">
        <v>108</v>
      </c>
      <c r="C54" t="str">
        <f>INDEX([1]Enrollments!$A:$A,MATCH(Transactions[[#This Row],[Student_ID]],[1]Enrollments!$B:$B,0))</f>
        <v>E1046</v>
      </c>
      <c r="D54">
        <v>7000</v>
      </c>
      <c r="E54" s="1">
        <v>45366.768973771737</v>
      </c>
      <c r="F54" t="s">
        <v>10</v>
      </c>
    </row>
    <row r="55" spans="1:6" x14ac:dyDescent="0.25">
      <c r="A55" t="s">
        <v>109</v>
      </c>
      <c r="B55" t="s">
        <v>110</v>
      </c>
      <c r="C55" t="str">
        <f>INDEX([1]Enrollments!$A:$A,MATCH(Transactions[[#This Row],[Student_ID]],[1]Enrollments!$B:$B,0))</f>
        <v>E1021</v>
      </c>
      <c r="D55">
        <v>9000</v>
      </c>
      <c r="E55" s="1">
        <v>45412.811317732667</v>
      </c>
      <c r="F55" t="s">
        <v>16</v>
      </c>
    </row>
    <row r="56" spans="1:6" x14ac:dyDescent="0.25">
      <c r="A56" t="s">
        <v>111</v>
      </c>
      <c r="B56" t="s">
        <v>112</v>
      </c>
      <c r="C56" s="4" t="str">
        <f>INDEX([1]Enrollments!$A:$A,MATCH(Transactions[[#This Row],[Student_ID]],[1]Enrollments!$B:$B,0))</f>
        <v>E1220</v>
      </c>
      <c r="D56">
        <v>5000</v>
      </c>
      <c r="E56" s="1">
        <v>45328.214202899253</v>
      </c>
      <c r="F56" t="s">
        <v>10</v>
      </c>
    </row>
    <row r="57" spans="1:6" x14ac:dyDescent="0.25">
      <c r="A57" t="s">
        <v>113</v>
      </c>
      <c r="B57" t="s">
        <v>114</v>
      </c>
      <c r="C57" s="4" t="str">
        <f>INDEX([1]Enrollments!$A:$A,MATCH(Transactions[[#This Row],[Student_ID]],[1]Enrollments!$B:$B,0))</f>
        <v>E1221</v>
      </c>
      <c r="D57">
        <v>7000</v>
      </c>
      <c r="E57" s="1">
        <v>45373.043062720397</v>
      </c>
      <c r="F57" t="s">
        <v>7</v>
      </c>
    </row>
    <row r="58" spans="1:6" x14ac:dyDescent="0.25">
      <c r="A58" t="s">
        <v>115</v>
      </c>
      <c r="B58" t="s">
        <v>116</v>
      </c>
      <c r="C58" t="str">
        <f>INDEX([1]Enrollments!$A:$A,MATCH(Transactions[[#This Row],[Student_ID]],[1]Enrollments!$B:$B,0))</f>
        <v>E1049</v>
      </c>
      <c r="D58">
        <v>12000</v>
      </c>
      <c r="E58" s="1">
        <v>45486.974227500054</v>
      </c>
      <c r="F58" t="s">
        <v>16</v>
      </c>
    </row>
    <row r="59" spans="1:6" x14ac:dyDescent="0.25">
      <c r="A59" t="s">
        <v>117</v>
      </c>
      <c r="B59" t="s">
        <v>106</v>
      </c>
      <c r="C59" s="4" t="str">
        <f>INDEX([1]Enrollments!$A:$A,MATCH(Transactions[[#This Row],[Student_ID]],[1]Enrollments!$B:$B,0))</f>
        <v>E1219</v>
      </c>
      <c r="D59">
        <v>12000</v>
      </c>
      <c r="E59" s="1">
        <v>45346.852286242123</v>
      </c>
      <c r="F59" t="s">
        <v>10</v>
      </c>
    </row>
    <row r="60" spans="1:6" x14ac:dyDescent="0.25">
      <c r="A60" t="s">
        <v>118</v>
      </c>
      <c r="B60" t="s">
        <v>119</v>
      </c>
      <c r="C60" t="str">
        <f>INDEX([1]Enrollments!$A:$A,MATCH(Transactions[[#This Row],[Student_ID]],[1]Enrollments!$B:$B,0))</f>
        <v>E1051</v>
      </c>
      <c r="D60">
        <v>12000</v>
      </c>
      <c r="E60" s="1">
        <v>45425.37712291463</v>
      </c>
      <c r="F60" t="s">
        <v>16</v>
      </c>
    </row>
    <row r="61" spans="1:6" x14ac:dyDescent="0.25">
      <c r="A61" t="s">
        <v>120</v>
      </c>
      <c r="B61" t="s">
        <v>121</v>
      </c>
      <c r="C61" t="str">
        <f>INDEX([1]Enrollments!$A:$A,MATCH(Transactions[[#This Row],[Student_ID]],[1]Enrollments!$B:$B,0))</f>
        <v>E1066</v>
      </c>
      <c r="D61">
        <v>5000</v>
      </c>
      <c r="E61" s="1">
        <v>45360.062442652263</v>
      </c>
      <c r="F61" t="s">
        <v>13</v>
      </c>
    </row>
    <row r="62" spans="1:6" x14ac:dyDescent="0.25">
      <c r="A62" t="s">
        <v>122</v>
      </c>
      <c r="B62" t="s">
        <v>123</v>
      </c>
      <c r="C62" t="str">
        <f>INDEX([1]Enrollments!$A:$A,MATCH(Transactions[[#This Row],[Student_ID]],[1]Enrollments!$B:$B,0))</f>
        <v>E1163</v>
      </c>
      <c r="D62">
        <v>7000</v>
      </c>
      <c r="E62" s="1">
        <v>45448.374205760258</v>
      </c>
      <c r="F62" t="s">
        <v>10</v>
      </c>
    </row>
    <row r="63" spans="1:6" x14ac:dyDescent="0.25">
      <c r="A63" t="s">
        <v>124</v>
      </c>
      <c r="B63" t="s">
        <v>125</v>
      </c>
      <c r="C63" s="4" t="str">
        <f>INDEX([1]Enrollments!$A:$A,MATCH(Transactions[[#This Row],[Student_ID]],[1]Enrollments!$B:$B,0))</f>
        <v>E1223</v>
      </c>
      <c r="D63">
        <v>12000</v>
      </c>
      <c r="E63" s="1">
        <v>45321.782111161498</v>
      </c>
      <c r="F63" t="s">
        <v>7</v>
      </c>
    </row>
    <row r="64" spans="1:6" x14ac:dyDescent="0.25">
      <c r="A64" t="s">
        <v>126</v>
      </c>
      <c r="B64" t="s">
        <v>89</v>
      </c>
      <c r="C64" s="4" t="str">
        <f>INDEX([1]Enrollments!$A:$A,MATCH(Transactions[[#This Row],[Student_ID]],[1]Enrollments!$B:$B,0))</f>
        <v>E1215</v>
      </c>
      <c r="D64">
        <v>5000</v>
      </c>
      <c r="E64" s="1">
        <v>45487.054745880458</v>
      </c>
      <c r="F64" t="s">
        <v>10</v>
      </c>
    </row>
    <row r="65" spans="1:6" x14ac:dyDescent="0.25">
      <c r="A65" t="s">
        <v>127</v>
      </c>
      <c r="B65" t="s">
        <v>128</v>
      </c>
      <c r="C65" s="4" t="str">
        <f>INDEX([1]Enrollments!$A:$A,MATCH(Transactions[[#This Row],[Student_ID]],[1]Enrollments!$B:$B,0))</f>
        <v>E1225</v>
      </c>
      <c r="D65">
        <v>12000</v>
      </c>
      <c r="E65" s="1">
        <v>45385.396539652567</v>
      </c>
      <c r="F65" t="s">
        <v>16</v>
      </c>
    </row>
    <row r="66" spans="1:6" x14ac:dyDescent="0.25">
      <c r="A66" t="s">
        <v>129</v>
      </c>
      <c r="B66" t="s">
        <v>43</v>
      </c>
      <c r="C66" s="4" t="str">
        <f>INDEX([1]Enrollments!$A:$A,MATCH(Transactions[[#This Row],[Student_ID]],[1]Enrollments!$B:$B,0))</f>
        <v>E1203</v>
      </c>
      <c r="D66">
        <v>9000</v>
      </c>
      <c r="E66" s="1">
        <v>45342.501941279254</v>
      </c>
      <c r="F66" t="s">
        <v>16</v>
      </c>
    </row>
    <row r="67" spans="1:6" x14ac:dyDescent="0.25">
      <c r="A67" t="s">
        <v>130</v>
      </c>
      <c r="B67" t="s">
        <v>131</v>
      </c>
      <c r="C67" t="str">
        <f>INDEX([1]Enrollments!$A:$A,MATCH(Transactions[[#This Row],[Student_ID]],[1]Enrollments!$B:$B,0))</f>
        <v>E1198</v>
      </c>
      <c r="D67">
        <v>7000</v>
      </c>
      <c r="E67" s="1">
        <v>45310.478859224007</v>
      </c>
      <c r="F67" t="s">
        <v>10</v>
      </c>
    </row>
    <row r="68" spans="1:6" x14ac:dyDescent="0.25">
      <c r="A68" t="s">
        <v>132</v>
      </c>
      <c r="B68" t="s">
        <v>133</v>
      </c>
      <c r="C68" t="str">
        <f>INDEX([1]Enrollments!$A:$A,MATCH(Transactions[[#This Row],[Student_ID]],[1]Enrollments!$B:$B,0))</f>
        <v>E1065</v>
      </c>
      <c r="D68">
        <v>7000</v>
      </c>
      <c r="E68" s="1">
        <v>45329.442307302248</v>
      </c>
      <c r="F68" t="s">
        <v>7</v>
      </c>
    </row>
    <row r="69" spans="1:6" x14ac:dyDescent="0.25">
      <c r="A69" t="s">
        <v>134</v>
      </c>
      <c r="B69" t="s">
        <v>135</v>
      </c>
      <c r="C69" t="str">
        <f>INDEX([1]Enrollments!$A:$A,MATCH(Transactions[[#This Row],[Student_ID]],[1]Enrollments!$B:$B,0))</f>
        <v>E1048</v>
      </c>
      <c r="D69">
        <v>5000</v>
      </c>
      <c r="E69" s="1">
        <v>45398.395467865543</v>
      </c>
      <c r="F69" t="s">
        <v>7</v>
      </c>
    </row>
    <row r="70" spans="1:6" x14ac:dyDescent="0.25">
      <c r="A70" t="s">
        <v>136</v>
      </c>
      <c r="B70" t="s">
        <v>73</v>
      </c>
      <c r="C70" s="4" t="str">
        <f>INDEX([1]Enrollments!$A:$A,MATCH(Transactions[[#This Row],[Student_ID]],[1]Enrollments!$B:$B,0))</f>
        <v>E1210</v>
      </c>
      <c r="D70">
        <v>5000</v>
      </c>
      <c r="E70" s="1">
        <v>45362.389625756958</v>
      </c>
      <c r="F70" t="s">
        <v>7</v>
      </c>
    </row>
    <row r="71" spans="1:6" x14ac:dyDescent="0.25">
      <c r="A71" t="s">
        <v>137</v>
      </c>
      <c r="B71" t="s">
        <v>138</v>
      </c>
      <c r="C71" t="str">
        <f>INDEX([1]Enrollments!$A:$A,MATCH(Transactions[[#This Row],[Student_ID]],[1]Enrollments!$B:$B,0))</f>
        <v>E1002</v>
      </c>
      <c r="D71">
        <v>7000</v>
      </c>
      <c r="E71" s="1">
        <v>45459.290023078873</v>
      </c>
      <c r="F71" t="s">
        <v>16</v>
      </c>
    </row>
    <row r="72" spans="1:6" x14ac:dyDescent="0.25">
      <c r="A72" t="s">
        <v>139</v>
      </c>
      <c r="B72" t="s">
        <v>89</v>
      </c>
      <c r="C72" s="4" t="str">
        <f>INDEX([1]Enrollments!$A:$A,MATCH(Transactions[[#This Row],[Student_ID]],[1]Enrollments!$B:$B,0))</f>
        <v>E1215</v>
      </c>
      <c r="D72">
        <v>12000</v>
      </c>
      <c r="E72" s="1">
        <v>45380.884842161373</v>
      </c>
      <c r="F72" t="s">
        <v>10</v>
      </c>
    </row>
    <row r="73" spans="1:6" x14ac:dyDescent="0.25">
      <c r="A73" t="s">
        <v>140</v>
      </c>
      <c r="B73" t="s">
        <v>65</v>
      </c>
      <c r="C73" t="str">
        <f>INDEX([1]Enrollments!$A:$A,MATCH(Transactions[[#This Row],[Student_ID]],[1]Enrollments!$B:$B,0))</f>
        <v>E1090</v>
      </c>
      <c r="D73">
        <v>12000</v>
      </c>
      <c r="E73" s="1">
        <v>45344.996711699758</v>
      </c>
      <c r="F73" t="s">
        <v>13</v>
      </c>
    </row>
    <row r="74" spans="1:6" x14ac:dyDescent="0.25">
      <c r="A74" t="s">
        <v>141</v>
      </c>
      <c r="B74" t="s">
        <v>89</v>
      </c>
      <c r="C74" s="4" t="str">
        <f>INDEX([1]Enrollments!$A:$A,MATCH(Transactions[[#This Row],[Student_ID]],[1]Enrollments!$B:$B,0))</f>
        <v>E1215</v>
      </c>
      <c r="D74">
        <v>9000</v>
      </c>
      <c r="E74" s="1">
        <v>45417.577562360981</v>
      </c>
      <c r="F74" t="s">
        <v>16</v>
      </c>
    </row>
    <row r="75" spans="1:6" x14ac:dyDescent="0.25">
      <c r="A75" t="s">
        <v>142</v>
      </c>
      <c r="B75" t="s">
        <v>143</v>
      </c>
      <c r="C75" t="str">
        <f>INDEX([1]Enrollments!$A:$A,MATCH(Transactions[[#This Row],[Student_ID]],[1]Enrollments!$B:$B,0))</f>
        <v>E1154</v>
      </c>
      <c r="D75">
        <v>12000</v>
      </c>
      <c r="E75" s="1">
        <v>45435.235111726433</v>
      </c>
      <c r="F75" t="s">
        <v>7</v>
      </c>
    </row>
    <row r="76" spans="1:6" x14ac:dyDescent="0.25">
      <c r="A76" t="s">
        <v>144</v>
      </c>
      <c r="B76" t="s">
        <v>145</v>
      </c>
      <c r="C76" t="str">
        <f>INDEX([1]Enrollments!$A:$A,MATCH(Transactions[[#This Row],[Student_ID]],[1]Enrollments!$B:$B,0))</f>
        <v>E1076</v>
      </c>
      <c r="D76">
        <v>5000</v>
      </c>
      <c r="E76" s="1">
        <v>45328.90725585648</v>
      </c>
      <c r="F76" t="s">
        <v>10</v>
      </c>
    </row>
    <row r="77" spans="1:6" x14ac:dyDescent="0.25">
      <c r="A77" t="s">
        <v>146</v>
      </c>
      <c r="B77" t="s">
        <v>12</v>
      </c>
      <c r="C77" t="str">
        <f>INDEX([1]Enrollments!$A:$A,MATCH(Transactions[[#This Row],[Student_ID]],[1]Enrollments!$B:$B,0))</f>
        <v>E1096</v>
      </c>
      <c r="D77">
        <v>5000</v>
      </c>
      <c r="E77" s="1">
        <v>45329.020985608797</v>
      </c>
      <c r="F77" t="s">
        <v>7</v>
      </c>
    </row>
    <row r="78" spans="1:6" x14ac:dyDescent="0.25">
      <c r="A78" t="s">
        <v>147</v>
      </c>
      <c r="B78" t="s">
        <v>148</v>
      </c>
      <c r="C78" t="str">
        <f>INDEX([1]Enrollments!$A:$A,MATCH(Transactions[[#This Row],[Student_ID]],[1]Enrollments!$B:$B,0))</f>
        <v>E1018</v>
      </c>
      <c r="D78">
        <v>12000</v>
      </c>
      <c r="E78" s="1">
        <v>45303.224271105901</v>
      </c>
      <c r="F78" t="s">
        <v>13</v>
      </c>
    </row>
    <row r="79" spans="1:6" x14ac:dyDescent="0.25">
      <c r="A79" t="s">
        <v>149</v>
      </c>
      <c r="B79" t="s">
        <v>150</v>
      </c>
      <c r="C79" t="str">
        <f>INDEX([1]Enrollments!$A:$A,MATCH(Transactions[[#This Row],[Student_ID]],[1]Enrollments!$B:$B,0))</f>
        <v>E1015</v>
      </c>
      <c r="D79">
        <v>5000</v>
      </c>
      <c r="E79" s="1">
        <v>45441.071196967932</v>
      </c>
      <c r="F79" t="s">
        <v>7</v>
      </c>
    </row>
    <row r="80" spans="1:6" x14ac:dyDescent="0.25">
      <c r="A80" t="s">
        <v>151</v>
      </c>
      <c r="B80" t="s">
        <v>152</v>
      </c>
      <c r="C80" s="4" t="str">
        <f>INDEX([1]Enrollments!$A:$A,MATCH(Transactions[[#This Row],[Student_ID]],[1]Enrollments!$B:$B,0))</f>
        <v>E1230</v>
      </c>
      <c r="D80">
        <v>7000</v>
      </c>
      <c r="E80" s="1">
        <v>45426.769491941493</v>
      </c>
      <c r="F80" t="s">
        <v>7</v>
      </c>
    </row>
    <row r="81" spans="1:6" x14ac:dyDescent="0.25">
      <c r="A81" t="s">
        <v>153</v>
      </c>
      <c r="B81" t="s">
        <v>154</v>
      </c>
      <c r="C81" t="str">
        <f>INDEX([1]Enrollments!$A:$A,MATCH(Transactions[[#This Row],[Student_ID]],[1]Enrollments!$B:$B,0))</f>
        <v>E1044</v>
      </c>
      <c r="D81">
        <v>7000</v>
      </c>
      <c r="E81" s="1">
        <v>45389.502282522713</v>
      </c>
      <c r="F81" t="s">
        <v>13</v>
      </c>
    </row>
    <row r="82" spans="1:6" x14ac:dyDescent="0.25">
      <c r="A82" t="s">
        <v>155</v>
      </c>
      <c r="B82" t="s">
        <v>156</v>
      </c>
      <c r="C82" s="4" t="str">
        <f>INDEX([1]Enrollments!$A:$A,MATCH(Transactions[[#This Row],[Student_ID]],[1]Enrollments!$B:$B,0))</f>
        <v>E1231</v>
      </c>
      <c r="D82">
        <v>12000</v>
      </c>
      <c r="E82" s="1">
        <v>45462.301578446932</v>
      </c>
      <c r="F82" t="s">
        <v>10</v>
      </c>
    </row>
    <row r="83" spans="1:6" x14ac:dyDescent="0.25">
      <c r="A83" t="s">
        <v>157</v>
      </c>
      <c r="B83" t="s">
        <v>158</v>
      </c>
      <c r="C83" t="str">
        <f>INDEX([1]Enrollments!$A:$A,MATCH(Transactions[[#This Row],[Student_ID]],[1]Enrollments!$B:$B,0))</f>
        <v>E1086</v>
      </c>
      <c r="D83">
        <v>7000</v>
      </c>
      <c r="E83" s="1">
        <v>45454.71702013116</v>
      </c>
      <c r="F83" t="s">
        <v>16</v>
      </c>
    </row>
    <row r="84" spans="1:6" x14ac:dyDescent="0.25">
      <c r="A84" t="s">
        <v>159</v>
      </c>
      <c r="B84" t="s">
        <v>158</v>
      </c>
      <c r="C84" t="str">
        <f>INDEX([1]Enrollments!$A:$A,MATCH(Transactions[[#This Row],[Student_ID]],[1]Enrollments!$B:$B,0))</f>
        <v>E1086</v>
      </c>
      <c r="D84">
        <v>7000</v>
      </c>
      <c r="E84" s="1">
        <v>45411.314809786163</v>
      </c>
      <c r="F84" t="s">
        <v>10</v>
      </c>
    </row>
    <row r="85" spans="1:6" x14ac:dyDescent="0.25">
      <c r="A85" t="s">
        <v>160</v>
      </c>
      <c r="B85" t="s">
        <v>161</v>
      </c>
      <c r="C85" s="4" t="str">
        <f>INDEX([1]Enrollments!$A:$A,MATCH(Transactions[[#This Row],[Student_ID]],[1]Enrollments!$B:$B,0))</f>
        <v>E1232</v>
      </c>
      <c r="D85">
        <v>9000</v>
      </c>
      <c r="E85" s="1">
        <v>45467.049442261108</v>
      </c>
      <c r="F85" t="s">
        <v>13</v>
      </c>
    </row>
    <row r="86" spans="1:6" x14ac:dyDescent="0.25">
      <c r="A86" t="s">
        <v>162</v>
      </c>
      <c r="B86" t="s">
        <v>163</v>
      </c>
      <c r="C86" s="4" t="str">
        <f>INDEX([1]Enrollments!$A:$A,MATCH(Transactions[[#This Row],[Student_ID]],[1]Enrollments!$B:$B,0))</f>
        <v>E1233</v>
      </c>
      <c r="D86">
        <v>9000</v>
      </c>
      <c r="E86" s="1">
        <v>45336.550718377242</v>
      </c>
      <c r="F86" t="s">
        <v>7</v>
      </c>
    </row>
    <row r="87" spans="1:6" x14ac:dyDescent="0.25">
      <c r="A87" t="s">
        <v>164</v>
      </c>
      <c r="B87" t="s">
        <v>50</v>
      </c>
      <c r="C87" s="4" t="str">
        <f>INDEX([1]Enrollments!$A:$A,MATCH(Transactions[[#This Row],[Student_ID]],[1]Enrollments!$B:$B,0))</f>
        <v>E1204</v>
      </c>
      <c r="D87">
        <v>7000</v>
      </c>
      <c r="E87" s="1">
        <v>45318.048165021341</v>
      </c>
      <c r="F87" t="s">
        <v>10</v>
      </c>
    </row>
    <row r="88" spans="1:6" x14ac:dyDescent="0.25">
      <c r="A88" t="s">
        <v>165</v>
      </c>
      <c r="B88" t="s">
        <v>166</v>
      </c>
      <c r="C88" s="4" t="str">
        <f>INDEX([1]Enrollments!$A:$A,MATCH(Transactions[[#This Row],[Student_ID]],[1]Enrollments!$B:$B,0))</f>
        <v>E1235</v>
      </c>
      <c r="D88">
        <v>12000</v>
      </c>
      <c r="E88" s="1">
        <v>45349.140673468843</v>
      </c>
      <c r="F88" t="s">
        <v>16</v>
      </c>
    </row>
    <row r="89" spans="1:6" x14ac:dyDescent="0.25">
      <c r="A89" t="s">
        <v>167</v>
      </c>
      <c r="B89" t="s">
        <v>128</v>
      </c>
      <c r="C89" s="4" t="str">
        <f>INDEX([1]Enrollments!$A:$A,MATCH(Transactions[[#This Row],[Student_ID]],[1]Enrollments!$B:$B,0))</f>
        <v>E1225</v>
      </c>
      <c r="D89">
        <v>9000</v>
      </c>
      <c r="E89" s="1">
        <v>45307.246110649583</v>
      </c>
      <c r="F89" t="s">
        <v>13</v>
      </c>
    </row>
    <row r="90" spans="1:6" x14ac:dyDescent="0.25">
      <c r="A90" t="s">
        <v>168</v>
      </c>
      <c r="B90" t="s">
        <v>55</v>
      </c>
      <c r="C90" s="4" t="str">
        <f>INDEX([1]Enrollments!$A:$A,MATCH(Transactions[[#This Row],[Student_ID]],[1]Enrollments!$B:$B,0))</f>
        <v>E1207</v>
      </c>
      <c r="D90">
        <v>5000</v>
      </c>
      <c r="E90" s="1">
        <v>45400.640397016206</v>
      </c>
      <c r="F90" t="s">
        <v>10</v>
      </c>
    </row>
    <row r="91" spans="1:6" x14ac:dyDescent="0.25">
      <c r="A91" t="s">
        <v>169</v>
      </c>
      <c r="B91" t="s">
        <v>170</v>
      </c>
      <c r="C91" t="str">
        <f>INDEX([1]Enrollments!$A:$A,MATCH(Transactions[[#This Row],[Student_ID]],[1]Enrollments!$B:$B,0))</f>
        <v>E1102</v>
      </c>
      <c r="D91">
        <v>5000</v>
      </c>
      <c r="E91" s="1">
        <v>45480.51132138211</v>
      </c>
      <c r="F91" t="s">
        <v>16</v>
      </c>
    </row>
    <row r="92" spans="1:6" x14ac:dyDescent="0.25">
      <c r="A92" t="s">
        <v>171</v>
      </c>
      <c r="B92" t="s">
        <v>86</v>
      </c>
      <c r="C92" s="4" t="str">
        <f>INDEX([1]Enrollments!$A:$A,MATCH(Transactions[[#This Row],[Student_ID]],[1]Enrollments!$B:$B,0))</f>
        <v>E1213</v>
      </c>
      <c r="D92">
        <v>5000</v>
      </c>
      <c r="E92" s="1">
        <v>45303.750677511693</v>
      </c>
      <c r="F92" t="s">
        <v>13</v>
      </c>
    </row>
    <row r="93" spans="1:6" x14ac:dyDescent="0.25">
      <c r="A93" t="s">
        <v>172</v>
      </c>
      <c r="B93" t="s">
        <v>173</v>
      </c>
      <c r="C93" s="4" t="str">
        <f>INDEX([1]Enrollments!$A:$A,MATCH(Transactions[[#This Row],[Student_ID]],[1]Enrollments!$B:$B,0))</f>
        <v>E1239</v>
      </c>
      <c r="D93">
        <v>12000</v>
      </c>
      <c r="E93" s="1">
        <v>45320.055653059957</v>
      </c>
      <c r="F93" t="s">
        <v>16</v>
      </c>
    </row>
    <row r="94" spans="1:6" x14ac:dyDescent="0.25">
      <c r="A94" t="s">
        <v>174</v>
      </c>
      <c r="B94" t="s">
        <v>175</v>
      </c>
      <c r="C94" t="str">
        <f>INDEX([1]Enrollments!$A:$A,MATCH(Transactions[[#This Row],[Student_ID]],[1]Enrollments!$B:$B,0))</f>
        <v>E1056</v>
      </c>
      <c r="D94">
        <v>7000</v>
      </c>
      <c r="E94" s="1">
        <v>45385.083208571828</v>
      </c>
      <c r="F94" t="s">
        <v>13</v>
      </c>
    </row>
    <row r="95" spans="1:6" x14ac:dyDescent="0.25">
      <c r="A95" t="s">
        <v>176</v>
      </c>
      <c r="B95" t="s">
        <v>177</v>
      </c>
      <c r="C95" t="str">
        <f>INDEX([1]Enrollments!$A:$A,MATCH(Transactions[[#This Row],[Student_ID]],[1]Enrollments!$B:$B,0))</f>
        <v>E1055</v>
      </c>
      <c r="D95">
        <v>5000</v>
      </c>
      <c r="E95" s="1">
        <v>45479.973378453004</v>
      </c>
      <c r="F95" t="s">
        <v>7</v>
      </c>
    </row>
    <row r="96" spans="1:6" x14ac:dyDescent="0.25">
      <c r="A96" t="s">
        <v>178</v>
      </c>
      <c r="B96" t="s">
        <v>179</v>
      </c>
      <c r="C96" t="str">
        <f>INDEX([1]Enrollments!$A:$A,MATCH(Transactions[[#This Row],[Student_ID]],[1]Enrollments!$B:$B,0))</f>
        <v>E1004</v>
      </c>
      <c r="D96">
        <v>12000</v>
      </c>
      <c r="E96" s="1">
        <v>45358.282752680418</v>
      </c>
      <c r="F96" t="s">
        <v>10</v>
      </c>
    </row>
    <row r="97" spans="1:6" x14ac:dyDescent="0.25">
      <c r="A97" t="s">
        <v>180</v>
      </c>
      <c r="B97" t="s">
        <v>181</v>
      </c>
      <c r="C97" s="4" t="str">
        <f>INDEX([1]Enrollments!$A:$A,MATCH(Transactions[[#This Row],[Student_ID]],[1]Enrollments!$B:$B,0))</f>
        <v>E1240</v>
      </c>
      <c r="D97">
        <v>9000</v>
      </c>
      <c r="E97" s="1">
        <v>45395.92525731161</v>
      </c>
      <c r="F97" t="s">
        <v>16</v>
      </c>
    </row>
    <row r="98" spans="1:6" x14ac:dyDescent="0.25">
      <c r="A98" t="s">
        <v>182</v>
      </c>
      <c r="B98" t="s">
        <v>183</v>
      </c>
      <c r="C98" s="4" t="str">
        <f>INDEX([1]Enrollments!$A:$A,MATCH(Transactions[[#This Row],[Student_ID]],[1]Enrollments!$B:$B,0))</f>
        <v>E1241</v>
      </c>
      <c r="D98">
        <v>7000</v>
      </c>
      <c r="E98" s="1">
        <v>45304.189853232907</v>
      </c>
      <c r="F98" t="s">
        <v>13</v>
      </c>
    </row>
    <row r="99" spans="1:6" x14ac:dyDescent="0.25">
      <c r="A99" t="s">
        <v>184</v>
      </c>
      <c r="B99" t="s">
        <v>104</v>
      </c>
      <c r="C99" t="str">
        <f>INDEX([1]Enrollments!$A:$A,MATCH(Transactions[[#This Row],[Student_ID]],[1]Enrollments!$B:$B,0))</f>
        <v>E1099</v>
      </c>
      <c r="D99">
        <v>9000</v>
      </c>
      <c r="E99" s="1">
        <v>45325.223610589528</v>
      </c>
      <c r="F99" t="s">
        <v>16</v>
      </c>
    </row>
    <row r="100" spans="1:6" x14ac:dyDescent="0.25">
      <c r="A100" t="s">
        <v>185</v>
      </c>
      <c r="B100" t="s">
        <v>128</v>
      </c>
      <c r="C100" s="4" t="str">
        <f>INDEX([1]Enrollments!$A:$A,MATCH(Transactions[[#This Row],[Student_ID]],[1]Enrollments!$B:$B,0))</f>
        <v>E1225</v>
      </c>
      <c r="D100">
        <v>12000</v>
      </c>
      <c r="E100" s="1">
        <v>45490.366134222881</v>
      </c>
      <c r="F100" t="s">
        <v>16</v>
      </c>
    </row>
    <row r="101" spans="1:6" x14ac:dyDescent="0.25">
      <c r="A101" t="s">
        <v>186</v>
      </c>
      <c r="B101" t="s">
        <v>187</v>
      </c>
      <c r="C101" t="str">
        <f>INDEX([1]Enrollments!$A:$A,MATCH(Transactions[[#This Row],[Student_ID]],[1]Enrollments!$B:$B,0))</f>
        <v>E1007</v>
      </c>
      <c r="D101">
        <v>5000</v>
      </c>
      <c r="E101" s="1">
        <v>45486.128383197887</v>
      </c>
      <c r="F101" t="s">
        <v>10</v>
      </c>
    </row>
    <row r="102" spans="1:6" x14ac:dyDescent="0.25">
      <c r="A102" t="s">
        <v>188</v>
      </c>
      <c r="B102" t="s">
        <v>189</v>
      </c>
      <c r="C102" s="4" t="str">
        <f>INDEX([1]Enrollments!$A:$A,MATCH(Transactions[[#This Row],[Student_ID]],[1]Enrollments!$B:$B,0))</f>
        <v>E1243</v>
      </c>
      <c r="D102">
        <v>5000</v>
      </c>
      <c r="E102" s="1">
        <v>45296.973176244072</v>
      </c>
      <c r="F102" t="s">
        <v>7</v>
      </c>
    </row>
    <row r="103" spans="1:6" x14ac:dyDescent="0.25">
      <c r="A103" t="s">
        <v>190</v>
      </c>
      <c r="B103" t="s">
        <v>191</v>
      </c>
      <c r="C103" t="str">
        <f>INDEX([1]Enrollments!$A:$A,MATCH(Transactions[[#This Row],[Student_ID]],[1]Enrollments!$B:$B,0))</f>
        <v>E1103</v>
      </c>
      <c r="D103">
        <v>12000</v>
      </c>
      <c r="E103" s="1">
        <v>45483.506921728367</v>
      </c>
      <c r="F103" t="s">
        <v>16</v>
      </c>
    </row>
    <row r="104" spans="1:6" x14ac:dyDescent="0.25">
      <c r="A104" t="s">
        <v>192</v>
      </c>
      <c r="B104" t="s">
        <v>86</v>
      </c>
      <c r="C104" s="4" t="str">
        <f>INDEX([1]Enrollments!$A:$A,MATCH(Transactions[[#This Row],[Student_ID]],[1]Enrollments!$B:$B,0))</f>
        <v>E1213</v>
      </c>
      <c r="D104">
        <v>5000</v>
      </c>
      <c r="E104" s="1">
        <v>45421.906627749653</v>
      </c>
      <c r="F104" t="s">
        <v>13</v>
      </c>
    </row>
    <row r="105" spans="1:6" x14ac:dyDescent="0.25">
      <c r="A105" t="s">
        <v>193</v>
      </c>
      <c r="B105" t="s">
        <v>194</v>
      </c>
      <c r="C105" t="str">
        <f>INDEX([1]Enrollments!$A:$A,MATCH(Transactions[[#This Row],[Student_ID]],[1]Enrollments!$B:$B,0))</f>
        <v>E1167</v>
      </c>
      <c r="D105">
        <v>7000</v>
      </c>
      <c r="E105" s="1">
        <v>45466.979904020438</v>
      </c>
      <c r="F105" t="s">
        <v>13</v>
      </c>
    </row>
    <row r="106" spans="1:6" x14ac:dyDescent="0.25">
      <c r="A106" t="s">
        <v>195</v>
      </c>
      <c r="B106" t="s">
        <v>48</v>
      </c>
      <c r="C106" t="str">
        <f>INDEX([1]Enrollments!$A:$A,MATCH(Transactions[[#This Row],[Student_ID]],[1]Enrollments!$B:$B,0))</f>
        <v>E1010</v>
      </c>
      <c r="D106">
        <v>12000</v>
      </c>
      <c r="E106" s="1">
        <v>45385.583751559861</v>
      </c>
      <c r="F106" t="s">
        <v>7</v>
      </c>
    </row>
    <row r="107" spans="1:6" x14ac:dyDescent="0.25">
      <c r="A107" t="s">
        <v>196</v>
      </c>
      <c r="B107" t="s">
        <v>166</v>
      </c>
      <c r="C107" s="4" t="str">
        <f>INDEX([1]Enrollments!$A:$A,MATCH(Transactions[[#This Row],[Student_ID]],[1]Enrollments!$B:$B,0))</f>
        <v>E1235</v>
      </c>
      <c r="D107">
        <v>9000</v>
      </c>
      <c r="E107" s="1">
        <v>45397.572417630101</v>
      </c>
      <c r="F107" t="s">
        <v>13</v>
      </c>
    </row>
    <row r="108" spans="1:6" x14ac:dyDescent="0.25">
      <c r="A108" t="s">
        <v>197</v>
      </c>
      <c r="B108" t="s">
        <v>170</v>
      </c>
      <c r="C108" t="str">
        <f>INDEX([1]Enrollments!$A:$A,MATCH(Transactions[[#This Row],[Student_ID]],[1]Enrollments!$B:$B,0))</f>
        <v>E1102</v>
      </c>
      <c r="D108">
        <v>12000</v>
      </c>
      <c r="E108" s="1">
        <v>45392.3027763106</v>
      </c>
      <c r="F108" t="s">
        <v>7</v>
      </c>
    </row>
    <row r="109" spans="1:6" x14ac:dyDescent="0.25">
      <c r="A109" t="s">
        <v>198</v>
      </c>
      <c r="B109" t="s">
        <v>199</v>
      </c>
      <c r="C109" s="4" t="str">
        <f>INDEX([1]Enrollments!$A:$A,MATCH(Transactions[[#This Row],[Student_ID]],[1]Enrollments!$B:$B,0))</f>
        <v>E1246</v>
      </c>
      <c r="D109">
        <v>7000</v>
      </c>
      <c r="E109" s="1">
        <v>45427.372258736577</v>
      </c>
      <c r="F109" t="s">
        <v>13</v>
      </c>
    </row>
    <row r="110" spans="1:6" x14ac:dyDescent="0.25">
      <c r="A110" t="s">
        <v>200</v>
      </c>
      <c r="B110" t="s">
        <v>201</v>
      </c>
      <c r="C110" t="str">
        <f>INDEX([1]Enrollments!$A:$A,MATCH(Transactions[[#This Row],[Student_ID]],[1]Enrollments!$B:$B,0))</f>
        <v>E1123</v>
      </c>
      <c r="D110">
        <v>7000</v>
      </c>
      <c r="E110" s="1">
        <v>45323.511297186989</v>
      </c>
      <c r="F110" t="s">
        <v>10</v>
      </c>
    </row>
    <row r="111" spans="1:6" x14ac:dyDescent="0.25">
      <c r="A111" t="s">
        <v>202</v>
      </c>
      <c r="B111" t="s">
        <v>203</v>
      </c>
      <c r="C111" t="str">
        <f>INDEX([1]Enrollments!$A:$A,MATCH(Transactions[[#This Row],[Student_ID]],[1]Enrollments!$B:$B,0))</f>
        <v>E1026</v>
      </c>
      <c r="D111">
        <v>12000</v>
      </c>
      <c r="E111" s="1">
        <v>45301.904797204908</v>
      </c>
      <c r="F111" t="s">
        <v>16</v>
      </c>
    </row>
    <row r="112" spans="1:6" x14ac:dyDescent="0.25">
      <c r="A112" t="s">
        <v>204</v>
      </c>
      <c r="B112" t="s">
        <v>41</v>
      </c>
      <c r="C112" t="str">
        <f>INDEX([1]Enrollments!$A:$A,MATCH(Transactions[[#This Row],[Student_ID]],[1]Enrollments!$B:$B,0))</f>
        <v>E1064</v>
      </c>
      <c r="D112">
        <v>12000</v>
      </c>
      <c r="E112" s="1">
        <v>45356.662198493461</v>
      </c>
      <c r="F112" t="s">
        <v>10</v>
      </c>
    </row>
    <row r="113" spans="1:6" x14ac:dyDescent="0.25">
      <c r="A113" t="s">
        <v>205</v>
      </c>
      <c r="B113" t="s">
        <v>173</v>
      </c>
      <c r="C113" s="4" t="str">
        <f>INDEX([1]Enrollments!$A:$A,MATCH(Transactions[[#This Row],[Student_ID]],[1]Enrollments!$B:$B,0))</f>
        <v>E1239</v>
      </c>
      <c r="D113">
        <v>5000</v>
      </c>
      <c r="E113" s="1">
        <v>45434.822110259112</v>
      </c>
      <c r="F113" t="s">
        <v>16</v>
      </c>
    </row>
    <row r="114" spans="1:6" x14ac:dyDescent="0.25">
      <c r="A114" t="s">
        <v>206</v>
      </c>
      <c r="B114" t="s">
        <v>207</v>
      </c>
      <c r="C114" s="4" t="str">
        <f>INDEX([1]Enrollments!$A:$A,MATCH(Transactions[[#This Row],[Student_ID]],[1]Enrollments!$B:$B,0))</f>
        <v>E1248</v>
      </c>
      <c r="D114">
        <v>7000</v>
      </c>
      <c r="E114" s="1">
        <v>45335.765130068219</v>
      </c>
      <c r="F114" t="s">
        <v>16</v>
      </c>
    </row>
    <row r="115" spans="1:6" x14ac:dyDescent="0.25">
      <c r="A115" t="s">
        <v>208</v>
      </c>
      <c r="B115" t="s">
        <v>209</v>
      </c>
      <c r="C115" s="4" t="str">
        <f>INDEX([1]Enrollments!$A:$A,MATCH(Transactions[[#This Row],[Student_ID]],[1]Enrollments!$B:$B,0))</f>
        <v>E1249</v>
      </c>
      <c r="D115">
        <v>12000</v>
      </c>
      <c r="E115" s="1">
        <v>45428.666189365002</v>
      </c>
      <c r="F115" t="s">
        <v>16</v>
      </c>
    </row>
    <row r="116" spans="1:6" x14ac:dyDescent="0.25">
      <c r="A116" t="s">
        <v>210</v>
      </c>
      <c r="B116" t="s">
        <v>211</v>
      </c>
      <c r="C116" t="str">
        <f>INDEX([1]Enrollments!$A:$A,MATCH(Transactions[[#This Row],[Student_ID]],[1]Enrollments!$B:$B,0))</f>
        <v>E1034</v>
      </c>
      <c r="D116">
        <v>12000</v>
      </c>
      <c r="E116" s="1">
        <v>45487.072673083123</v>
      </c>
      <c r="F116" t="s">
        <v>10</v>
      </c>
    </row>
    <row r="117" spans="1:6" x14ac:dyDescent="0.25">
      <c r="A117" t="s">
        <v>212</v>
      </c>
      <c r="B117" t="s">
        <v>201</v>
      </c>
      <c r="C117" t="str">
        <f>INDEX([1]Enrollments!$A:$A,MATCH(Transactions[[#This Row],[Student_ID]],[1]Enrollments!$B:$B,0))</f>
        <v>E1123</v>
      </c>
      <c r="D117">
        <v>7000</v>
      </c>
      <c r="E117" s="1">
        <v>45314.49844101051</v>
      </c>
      <c r="F117" t="s">
        <v>16</v>
      </c>
    </row>
    <row r="118" spans="1:6" x14ac:dyDescent="0.25">
      <c r="A118" t="s">
        <v>213</v>
      </c>
      <c r="B118" t="s">
        <v>214</v>
      </c>
      <c r="C118" t="str">
        <f>INDEX([1]Enrollments!$A:$A,MATCH(Transactions[[#This Row],[Student_ID]],[1]Enrollments!$B:$B,0))</f>
        <v>E1069</v>
      </c>
      <c r="D118">
        <v>12000</v>
      </c>
      <c r="E118" s="1">
        <v>45428.502617290353</v>
      </c>
      <c r="F118" t="s">
        <v>10</v>
      </c>
    </row>
    <row r="119" spans="1:6" x14ac:dyDescent="0.25">
      <c r="A119" t="s">
        <v>215</v>
      </c>
      <c r="B119" t="s">
        <v>50</v>
      </c>
      <c r="C119" s="4" t="str">
        <f>INDEX([1]Enrollments!$A:$A,MATCH(Transactions[[#This Row],[Student_ID]],[1]Enrollments!$B:$B,0))</f>
        <v>E1204</v>
      </c>
      <c r="D119">
        <v>5000</v>
      </c>
      <c r="E119" s="1">
        <v>45383.418793203004</v>
      </c>
      <c r="F119" t="s">
        <v>7</v>
      </c>
    </row>
    <row r="120" spans="1:6" x14ac:dyDescent="0.25">
      <c r="A120" t="s">
        <v>216</v>
      </c>
      <c r="B120" t="s">
        <v>217</v>
      </c>
      <c r="C120" t="str">
        <f>INDEX([1]Enrollments!$A:$A,MATCH(Transactions[[#This Row],[Student_ID]],[1]Enrollments!$B:$B,0))</f>
        <v>E1061</v>
      </c>
      <c r="D120">
        <v>7000</v>
      </c>
      <c r="E120" s="1">
        <v>45467.024024112361</v>
      </c>
      <c r="F120" t="s">
        <v>13</v>
      </c>
    </row>
    <row r="121" spans="1:6" x14ac:dyDescent="0.25">
      <c r="A121" t="s">
        <v>218</v>
      </c>
      <c r="B121" t="s">
        <v>177</v>
      </c>
      <c r="C121" t="str">
        <f>INDEX([1]Enrollments!$A:$A,MATCH(Transactions[[#This Row],[Student_ID]],[1]Enrollments!$B:$B,0))</f>
        <v>E1055</v>
      </c>
      <c r="D121">
        <v>5000</v>
      </c>
      <c r="E121" s="1">
        <v>45330.898508521132</v>
      </c>
      <c r="F121" t="s">
        <v>13</v>
      </c>
    </row>
    <row r="122" spans="1:6" x14ac:dyDescent="0.25">
      <c r="A122" t="s">
        <v>219</v>
      </c>
      <c r="B122" t="s">
        <v>220</v>
      </c>
      <c r="C122" t="str">
        <f>INDEX([1]Enrollments!$A:$A,MATCH(Transactions[[#This Row],[Student_ID]],[1]Enrollments!$B:$B,0))</f>
        <v>E1000</v>
      </c>
      <c r="D122">
        <v>5000</v>
      </c>
      <c r="E122" s="1">
        <v>45432.447312588563</v>
      </c>
      <c r="F122" t="s">
        <v>16</v>
      </c>
    </row>
    <row r="123" spans="1:6" x14ac:dyDescent="0.25">
      <c r="A123" t="s">
        <v>221</v>
      </c>
      <c r="B123" t="s">
        <v>222</v>
      </c>
      <c r="C123" t="str">
        <f>INDEX([1]Enrollments!$A:$A,MATCH(Transactions[[#This Row],[Student_ID]],[1]Enrollments!$B:$B,0))</f>
        <v>E1171</v>
      </c>
      <c r="D123">
        <v>5000</v>
      </c>
      <c r="E123" s="1">
        <v>45461.108712060668</v>
      </c>
      <c r="F123" t="s">
        <v>10</v>
      </c>
    </row>
    <row r="124" spans="1:6" x14ac:dyDescent="0.25">
      <c r="A124" t="s">
        <v>223</v>
      </c>
      <c r="B124" t="s">
        <v>224</v>
      </c>
      <c r="C124" t="str">
        <f>INDEX([1]Enrollments!$A:$A,MATCH(Transactions[[#This Row],[Student_ID]],[1]Enrollments!$B:$B,0))</f>
        <v>E1190</v>
      </c>
      <c r="D124">
        <v>5000</v>
      </c>
      <c r="E124" s="1">
        <v>45482.089001236367</v>
      </c>
      <c r="F124" t="s">
        <v>13</v>
      </c>
    </row>
    <row r="125" spans="1:6" x14ac:dyDescent="0.25">
      <c r="A125" t="s">
        <v>225</v>
      </c>
      <c r="B125" t="s">
        <v>65</v>
      </c>
      <c r="C125" t="str">
        <f>INDEX([1]Enrollments!$A:$A,MATCH(Transactions[[#This Row],[Student_ID]],[1]Enrollments!$B:$B,0))</f>
        <v>E1090</v>
      </c>
      <c r="D125">
        <v>7000</v>
      </c>
      <c r="E125" s="1">
        <v>45430.599861573057</v>
      </c>
      <c r="F125" t="s">
        <v>10</v>
      </c>
    </row>
    <row r="126" spans="1:6" x14ac:dyDescent="0.25">
      <c r="A126" t="s">
        <v>226</v>
      </c>
      <c r="B126" t="s">
        <v>181</v>
      </c>
      <c r="C126" s="4" t="str">
        <f>INDEX([1]Enrollments!$A:$A,MATCH(Transactions[[#This Row],[Student_ID]],[1]Enrollments!$B:$B,0))</f>
        <v>E1240</v>
      </c>
      <c r="D126">
        <v>5000</v>
      </c>
      <c r="E126" s="1">
        <v>45393.94342850965</v>
      </c>
      <c r="F126" t="s">
        <v>10</v>
      </c>
    </row>
    <row r="127" spans="1:6" x14ac:dyDescent="0.25">
      <c r="A127" t="s">
        <v>227</v>
      </c>
      <c r="B127" t="s">
        <v>228</v>
      </c>
      <c r="C127" t="str">
        <f>INDEX([1]Enrollments!$A:$A,MATCH(Transactions[[#This Row],[Student_ID]],[1]Enrollments!$B:$B,0))</f>
        <v>E1054</v>
      </c>
      <c r="D127">
        <v>5000</v>
      </c>
      <c r="E127" s="1">
        <v>45417.71590631963</v>
      </c>
      <c r="F127" t="s">
        <v>16</v>
      </c>
    </row>
    <row r="128" spans="1:6" x14ac:dyDescent="0.25">
      <c r="A128" t="s">
        <v>229</v>
      </c>
      <c r="B128" t="s">
        <v>230</v>
      </c>
      <c r="C128" s="4" t="str">
        <f>INDEX([1]Enrollments!$A:$A,MATCH(Transactions[[#This Row],[Student_ID]],[1]Enrollments!$B:$B,0))</f>
        <v>E1252</v>
      </c>
      <c r="D128">
        <v>12000</v>
      </c>
      <c r="E128" s="1">
        <v>45467.174281942302</v>
      </c>
      <c r="F128" t="s">
        <v>13</v>
      </c>
    </row>
    <row r="129" spans="1:6" x14ac:dyDescent="0.25">
      <c r="A129" t="s">
        <v>231</v>
      </c>
      <c r="B129" t="s">
        <v>232</v>
      </c>
      <c r="C129" t="str">
        <f>INDEX([1]Enrollments!$A:$A,MATCH(Transactions[[#This Row],[Student_ID]],[1]Enrollments!$B:$B,0))</f>
        <v>E1073</v>
      </c>
      <c r="D129">
        <v>7000</v>
      </c>
      <c r="E129" s="1">
        <v>45408.41012008785</v>
      </c>
      <c r="F129" t="s">
        <v>16</v>
      </c>
    </row>
    <row r="130" spans="1:6" x14ac:dyDescent="0.25">
      <c r="A130" t="s">
        <v>233</v>
      </c>
      <c r="B130" t="s">
        <v>37</v>
      </c>
      <c r="C130" s="4" t="str">
        <f>INDEX([1]Enrollments!$A:$A,MATCH(Transactions[[#This Row],[Student_ID]],[1]Enrollments!$B:$B,0))</f>
        <v>E1202</v>
      </c>
      <c r="D130">
        <v>7000</v>
      </c>
      <c r="E130" s="1">
        <v>45301.986250760267</v>
      </c>
      <c r="F130" t="s">
        <v>16</v>
      </c>
    </row>
    <row r="131" spans="1:6" x14ac:dyDescent="0.25">
      <c r="A131" t="s">
        <v>234</v>
      </c>
      <c r="B131" t="s">
        <v>235</v>
      </c>
      <c r="C131" s="4" t="str">
        <f>INDEX([1]Enrollments!$A:$A,MATCH(Transactions[[#This Row],[Student_ID]],[1]Enrollments!$B:$B,0))</f>
        <v>E1254</v>
      </c>
      <c r="D131">
        <v>9000</v>
      </c>
      <c r="E131" s="1">
        <v>45479.396893014869</v>
      </c>
      <c r="F131" t="s">
        <v>13</v>
      </c>
    </row>
    <row r="132" spans="1:6" x14ac:dyDescent="0.25">
      <c r="A132" t="s">
        <v>236</v>
      </c>
      <c r="B132" t="s">
        <v>199</v>
      </c>
      <c r="C132" s="4" t="str">
        <f>INDEX([1]Enrollments!$A:$A,MATCH(Transactions[[#This Row],[Student_ID]],[1]Enrollments!$B:$B,0))</f>
        <v>E1246</v>
      </c>
      <c r="D132">
        <v>7000</v>
      </c>
      <c r="E132" s="1">
        <v>45431.836769953217</v>
      </c>
      <c r="F132" t="s">
        <v>13</v>
      </c>
    </row>
    <row r="133" spans="1:6" x14ac:dyDescent="0.25">
      <c r="A133" t="s">
        <v>237</v>
      </c>
      <c r="B133" t="s">
        <v>238</v>
      </c>
      <c r="C133" s="4" t="str">
        <f>INDEX([1]Enrollments!$A:$A,MATCH(Transactions[[#This Row],[Student_ID]],[1]Enrollments!$B:$B,0))</f>
        <v>E1256</v>
      </c>
      <c r="D133">
        <v>7000</v>
      </c>
      <c r="E133" s="1">
        <v>45429.273136998112</v>
      </c>
      <c r="F133" t="s">
        <v>7</v>
      </c>
    </row>
    <row r="134" spans="1:6" x14ac:dyDescent="0.25">
      <c r="A134" t="s">
        <v>239</v>
      </c>
      <c r="B134" t="s">
        <v>240</v>
      </c>
      <c r="C134" t="str">
        <f>INDEX([1]Enrollments!$A:$A,MATCH(Transactions[[#This Row],[Student_ID]],[1]Enrollments!$B:$B,0))</f>
        <v>E1035</v>
      </c>
      <c r="D134">
        <v>9000</v>
      </c>
      <c r="E134" s="1">
        <v>45338.488005022351</v>
      </c>
      <c r="F134" t="s">
        <v>7</v>
      </c>
    </row>
    <row r="135" spans="1:6" x14ac:dyDescent="0.25">
      <c r="A135" t="s">
        <v>241</v>
      </c>
      <c r="B135" t="s">
        <v>242</v>
      </c>
      <c r="C135" t="str">
        <f>INDEX([1]Enrollments!$A:$A,MATCH(Transactions[[#This Row],[Student_ID]],[1]Enrollments!$B:$B,0))</f>
        <v>E1084</v>
      </c>
      <c r="D135">
        <v>7000</v>
      </c>
      <c r="E135" s="1">
        <v>45425.800437635837</v>
      </c>
      <c r="F135" t="s">
        <v>10</v>
      </c>
    </row>
    <row r="136" spans="1:6" x14ac:dyDescent="0.25">
      <c r="A136" t="s">
        <v>243</v>
      </c>
      <c r="B136" t="s">
        <v>244</v>
      </c>
      <c r="C136" t="str">
        <f>INDEX([1]Enrollments!$A:$A,MATCH(Transactions[[#This Row],[Student_ID]],[1]Enrollments!$B:$B,0))</f>
        <v>E1040</v>
      </c>
      <c r="D136">
        <v>7000</v>
      </c>
      <c r="E136" s="1">
        <v>45373.591287913863</v>
      </c>
      <c r="F136" t="s">
        <v>13</v>
      </c>
    </row>
    <row r="137" spans="1:6" x14ac:dyDescent="0.25">
      <c r="A137" t="s">
        <v>245</v>
      </c>
      <c r="B137" t="s">
        <v>116</v>
      </c>
      <c r="C137" t="str">
        <f>INDEX([1]Enrollments!$A:$A,MATCH(Transactions[[#This Row],[Student_ID]],[1]Enrollments!$B:$B,0))</f>
        <v>E1049</v>
      </c>
      <c r="D137">
        <v>7000</v>
      </c>
      <c r="E137" s="1">
        <v>45424.292896477164</v>
      </c>
      <c r="F137" t="s">
        <v>7</v>
      </c>
    </row>
    <row r="138" spans="1:6" x14ac:dyDescent="0.25">
      <c r="A138" t="s">
        <v>246</v>
      </c>
      <c r="B138" t="s">
        <v>247</v>
      </c>
      <c r="C138" t="str">
        <f>INDEX([1]Enrollments!$A:$A,MATCH(Transactions[[#This Row],[Student_ID]],[1]Enrollments!$B:$B,0))</f>
        <v>E1153</v>
      </c>
      <c r="D138">
        <v>7000</v>
      </c>
      <c r="E138" s="1">
        <v>45316.998826970666</v>
      </c>
      <c r="F138" t="s">
        <v>10</v>
      </c>
    </row>
    <row r="139" spans="1:6" x14ac:dyDescent="0.25">
      <c r="A139" t="s">
        <v>248</v>
      </c>
      <c r="B139" t="s">
        <v>114</v>
      </c>
      <c r="C139" s="4" t="str">
        <f>INDEX([1]Enrollments!$A:$A,MATCH(Transactions[[#This Row],[Student_ID]],[1]Enrollments!$B:$B,0))</f>
        <v>E1221</v>
      </c>
      <c r="D139">
        <v>9000</v>
      </c>
      <c r="E139" s="1">
        <v>45425.595525006793</v>
      </c>
      <c r="F139" t="s">
        <v>10</v>
      </c>
    </row>
    <row r="140" spans="1:6" x14ac:dyDescent="0.25">
      <c r="A140" t="s">
        <v>249</v>
      </c>
      <c r="B140" t="s">
        <v>250</v>
      </c>
      <c r="C140" s="4" t="str">
        <f>INDEX([1]Enrollments!$A:$A,MATCH(Transactions[[#This Row],[Student_ID]],[1]Enrollments!$B:$B,0))</f>
        <v>E1258</v>
      </c>
      <c r="D140">
        <v>7000</v>
      </c>
      <c r="E140" s="1">
        <v>45492.88450397682</v>
      </c>
      <c r="F140" t="s">
        <v>10</v>
      </c>
    </row>
    <row r="141" spans="1:6" x14ac:dyDescent="0.25">
      <c r="A141" t="s">
        <v>251</v>
      </c>
      <c r="B141" t="s">
        <v>252</v>
      </c>
      <c r="C141" s="4" t="str">
        <f>INDEX([1]Enrollments!$A:$A,MATCH(Transactions[[#This Row],[Student_ID]],[1]Enrollments!$B:$B,0))</f>
        <v>E1259</v>
      </c>
      <c r="D141">
        <v>7000</v>
      </c>
      <c r="E141" s="1">
        <v>45305.497771655522</v>
      </c>
      <c r="F141" t="s">
        <v>7</v>
      </c>
    </row>
    <row r="142" spans="1:6" x14ac:dyDescent="0.25">
      <c r="A142" t="s">
        <v>253</v>
      </c>
      <c r="B142" t="s">
        <v>254</v>
      </c>
      <c r="C142" s="4" t="str">
        <f>INDEX([1]Enrollments!$A:$A,MATCH(Transactions[[#This Row],[Student_ID]],[1]Enrollments!$B:$B,0))</f>
        <v>E1260</v>
      </c>
      <c r="D142">
        <v>9000</v>
      </c>
      <c r="E142" s="1">
        <v>45488.5033142916</v>
      </c>
      <c r="F142" t="s">
        <v>13</v>
      </c>
    </row>
    <row r="143" spans="1:6" x14ac:dyDescent="0.25">
      <c r="A143" t="s">
        <v>255</v>
      </c>
      <c r="B143" t="s">
        <v>256</v>
      </c>
      <c r="C143" t="str">
        <f>INDEX([1]Enrollments!$A:$A,MATCH(Transactions[[#This Row],[Student_ID]],[1]Enrollments!$B:$B,0))</f>
        <v>E1195</v>
      </c>
      <c r="D143">
        <v>12000</v>
      </c>
      <c r="E143" s="1">
        <v>45376.160868262399</v>
      </c>
      <c r="F143" t="s">
        <v>16</v>
      </c>
    </row>
    <row r="144" spans="1:6" x14ac:dyDescent="0.25">
      <c r="A144" t="s">
        <v>257</v>
      </c>
      <c r="B144" t="s">
        <v>59</v>
      </c>
      <c r="C144" s="4" t="str">
        <f>INDEX([1]Enrollments!$A:$A,MATCH(Transactions[[#This Row],[Student_ID]],[1]Enrollments!$B:$B,0))</f>
        <v>E1209</v>
      </c>
      <c r="D144">
        <v>5000</v>
      </c>
      <c r="E144" s="1">
        <v>45467.538429716427</v>
      </c>
      <c r="F144" t="s">
        <v>10</v>
      </c>
    </row>
    <row r="145" spans="1:6" x14ac:dyDescent="0.25">
      <c r="A145" t="s">
        <v>258</v>
      </c>
      <c r="B145" t="s">
        <v>228</v>
      </c>
      <c r="C145" t="str">
        <f>INDEX([1]Enrollments!$A:$A,MATCH(Transactions[[#This Row],[Student_ID]],[1]Enrollments!$B:$B,0))</f>
        <v>E1054</v>
      </c>
      <c r="D145">
        <v>12000</v>
      </c>
      <c r="E145" s="1">
        <v>45450.129940359482</v>
      </c>
      <c r="F145" t="s">
        <v>7</v>
      </c>
    </row>
    <row r="146" spans="1:6" x14ac:dyDescent="0.25">
      <c r="A146" t="s">
        <v>259</v>
      </c>
      <c r="B146" t="s">
        <v>222</v>
      </c>
      <c r="C146" t="str">
        <f>INDEX([1]Enrollments!$A:$A,MATCH(Transactions[[#This Row],[Student_ID]],[1]Enrollments!$B:$B,0))</f>
        <v>E1171</v>
      </c>
      <c r="D146">
        <v>9000</v>
      </c>
      <c r="E146" s="1">
        <v>45407.702203414367</v>
      </c>
      <c r="F146" t="s">
        <v>7</v>
      </c>
    </row>
    <row r="147" spans="1:6" x14ac:dyDescent="0.25">
      <c r="A147" t="s">
        <v>260</v>
      </c>
      <c r="B147" t="s">
        <v>211</v>
      </c>
      <c r="C147" t="str">
        <f>INDEX([1]Enrollments!$A:$A,MATCH(Transactions[[#This Row],[Student_ID]],[1]Enrollments!$B:$B,0))</f>
        <v>E1034</v>
      </c>
      <c r="D147">
        <v>5000</v>
      </c>
      <c r="E147" s="1">
        <v>45441.474494222501</v>
      </c>
      <c r="F147" t="s">
        <v>16</v>
      </c>
    </row>
    <row r="148" spans="1:6" x14ac:dyDescent="0.25">
      <c r="A148" t="s">
        <v>261</v>
      </c>
      <c r="B148" t="s">
        <v>262</v>
      </c>
      <c r="C148" s="4" t="str">
        <f>INDEX([1]Enrollments!$A:$A,MATCH(Transactions[[#This Row],[Student_ID]],[1]Enrollments!$B:$B,0))</f>
        <v>E1262</v>
      </c>
      <c r="D148">
        <v>9000</v>
      </c>
      <c r="E148" s="1">
        <v>45469.067565576363</v>
      </c>
      <c r="F148" t="s">
        <v>16</v>
      </c>
    </row>
    <row r="149" spans="1:6" x14ac:dyDescent="0.25">
      <c r="A149" t="s">
        <v>263</v>
      </c>
      <c r="B149" t="s">
        <v>45</v>
      </c>
      <c r="C149" t="str">
        <f>INDEX([1]Enrollments!$A:$A,MATCH(Transactions[[#This Row],[Student_ID]],[1]Enrollments!$B:$B,0))</f>
        <v>E1057</v>
      </c>
      <c r="D149">
        <v>9000</v>
      </c>
      <c r="E149" s="1">
        <v>45375.615643365243</v>
      </c>
      <c r="F149" t="s">
        <v>7</v>
      </c>
    </row>
    <row r="150" spans="1:6" x14ac:dyDescent="0.25">
      <c r="A150" t="s">
        <v>264</v>
      </c>
      <c r="B150" t="s">
        <v>194</v>
      </c>
      <c r="C150" t="str">
        <f>INDEX([1]Enrollments!$A:$A,MATCH(Transactions[[#This Row],[Student_ID]],[1]Enrollments!$B:$B,0))</f>
        <v>E1167</v>
      </c>
      <c r="D150">
        <v>7000</v>
      </c>
      <c r="E150" s="1">
        <v>45360.425532827947</v>
      </c>
      <c r="F150" t="s">
        <v>13</v>
      </c>
    </row>
    <row r="151" spans="1:6" x14ac:dyDescent="0.25">
      <c r="A151" t="s">
        <v>265</v>
      </c>
      <c r="B151" t="s">
        <v>266</v>
      </c>
      <c r="C151" t="str">
        <f>INDEX([1]Enrollments!$A:$A,MATCH(Transactions[[#This Row],[Student_ID]],[1]Enrollments!$B:$B,0))</f>
        <v>E1016</v>
      </c>
      <c r="D151">
        <v>5000</v>
      </c>
      <c r="E151" s="1">
        <v>45427.515896956022</v>
      </c>
      <c r="F151" t="s">
        <v>16</v>
      </c>
    </row>
    <row r="152" spans="1:6" x14ac:dyDescent="0.25">
      <c r="A152" t="s">
        <v>267</v>
      </c>
      <c r="B152" t="s">
        <v>268</v>
      </c>
      <c r="C152" t="str">
        <f>INDEX([1]Enrollments!$A:$A,MATCH(Transactions[[#This Row],[Student_ID]],[1]Enrollments!$B:$B,0))</f>
        <v>E1116</v>
      </c>
      <c r="D152">
        <v>7000</v>
      </c>
      <c r="E152" s="1">
        <v>45455.145650562423</v>
      </c>
      <c r="F152" t="s">
        <v>7</v>
      </c>
    </row>
    <row r="153" spans="1:6" x14ac:dyDescent="0.25">
      <c r="A153" t="s">
        <v>269</v>
      </c>
      <c r="B153" t="s">
        <v>250</v>
      </c>
      <c r="C153" s="4" t="str">
        <f>INDEX([1]Enrollments!$A:$A,MATCH(Transactions[[#This Row],[Student_ID]],[1]Enrollments!$B:$B,0))</f>
        <v>E1258</v>
      </c>
      <c r="D153">
        <v>5000</v>
      </c>
      <c r="E153" s="1">
        <v>45446.170171550977</v>
      </c>
      <c r="F153" t="s">
        <v>16</v>
      </c>
    </row>
    <row r="154" spans="1:6" x14ac:dyDescent="0.25">
      <c r="A154" t="s">
        <v>270</v>
      </c>
      <c r="B154" t="s">
        <v>9</v>
      </c>
      <c r="C154" s="4" t="str">
        <f>INDEX([1]Enrollments!$A:$A,MATCH(Transactions[[#This Row],[Student_ID]],[1]Enrollments!$B:$B,0))</f>
        <v>E1200</v>
      </c>
      <c r="D154">
        <v>9000</v>
      </c>
      <c r="E154" s="1">
        <v>45453.169288825142</v>
      </c>
      <c r="F154" t="s">
        <v>13</v>
      </c>
    </row>
    <row r="155" spans="1:6" x14ac:dyDescent="0.25">
      <c r="A155" t="s">
        <v>271</v>
      </c>
      <c r="B155" t="s">
        <v>272</v>
      </c>
      <c r="C155" t="str">
        <f>INDEX([1]Enrollments!$A:$A,MATCH(Transactions[[#This Row],[Student_ID]],[1]Enrollments!$B:$B,0))</f>
        <v>E1130</v>
      </c>
      <c r="D155">
        <v>9000</v>
      </c>
      <c r="E155" s="1">
        <v>45381.809913018144</v>
      </c>
      <c r="F155" t="s">
        <v>10</v>
      </c>
    </row>
    <row r="156" spans="1:6" x14ac:dyDescent="0.25">
      <c r="A156" t="s">
        <v>273</v>
      </c>
      <c r="B156" t="s">
        <v>274</v>
      </c>
      <c r="C156" t="str">
        <f>INDEX([1]Enrollments!$A:$A,MATCH(Transactions[[#This Row],[Student_ID]],[1]Enrollments!$B:$B,0))</f>
        <v>E1024</v>
      </c>
      <c r="D156">
        <v>12000</v>
      </c>
      <c r="E156" s="1">
        <v>45457.113340586468</v>
      </c>
      <c r="F156" t="s">
        <v>16</v>
      </c>
    </row>
    <row r="157" spans="1:6" x14ac:dyDescent="0.25">
      <c r="A157" t="s">
        <v>275</v>
      </c>
      <c r="B157" t="s">
        <v>228</v>
      </c>
      <c r="C157" t="str">
        <f>INDEX([1]Enrollments!$A:$A,MATCH(Transactions[[#This Row],[Student_ID]],[1]Enrollments!$B:$B,0))</f>
        <v>E1054</v>
      </c>
      <c r="D157">
        <v>5000</v>
      </c>
      <c r="E157" s="1">
        <v>45319.681183908011</v>
      </c>
      <c r="F157" t="s">
        <v>13</v>
      </c>
    </row>
    <row r="158" spans="1:6" x14ac:dyDescent="0.25">
      <c r="A158" t="s">
        <v>276</v>
      </c>
      <c r="B158" t="s">
        <v>277</v>
      </c>
      <c r="C158" s="4" t="str">
        <f>INDEX([1]Enrollments!$A:$A,MATCH(Transactions[[#This Row],[Student_ID]],[1]Enrollments!$B:$B,0))</f>
        <v>E1265</v>
      </c>
      <c r="D158">
        <v>7000</v>
      </c>
      <c r="E158" s="1">
        <v>45403.264352298283</v>
      </c>
      <c r="F158" t="s">
        <v>7</v>
      </c>
    </row>
    <row r="159" spans="1:6" x14ac:dyDescent="0.25">
      <c r="A159" t="s">
        <v>278</v>
      </c>
      <c r="B159" t="s">
        <v>76</v>
      </c>
      <c r="C159" t="str">
        <f>INDEX([1]Enrollments!$A:$A,MATCH(Transactions[[#This Row],[Student_ID]],[1]Enrollments!$B:$B,0))</f>
        <v>E1165</v>
      </c>
      <c r="D159">
        <v>12000</v>
      </c>
      <c r="E159" s="1">
        <v>45297.134456118118</v>
      </c>
      <c r="F159" t="s">
        <v>16</v>
      </c>
    </row>
    <row r="160" spans="1:6" x14ac:dyDescent="0.25">
      <c r="A160" t="s">
        <v>279</v>
      </c>
      <c r="B160" t="s">
        <v>280</v>
      </c>
      <c r="C160" t="str">
        <f>INDEX([1]Enrollments!$A:$A,MATCH(Transactions[[#This Row],[Student_ID]],[1]Enrollments!$B:$B,0))</f>
        <v>E1017</v>
      </c>
      <c r="D160">
        <v>12000</v>
      </c>
      <c r="E160" s="1">
        <v>45359.943408490348</v>
      </c>
      <c r="F160" t="s">
        <v>16</v>
      </c>
    </row>
    <row r="161" spans="1:6" x14ac:dyDescent="0.25">
      <c r="A161" t="s">
        <v>281</v>
      </c>
      <c r="B161" t="s">
        <v>282</v>
      </c>
      <c r="C161" s="4" t="str">
        <f>INDEX([1]Enrollments!$A:$A,MATCH(Transactions[[#This Row],[Student_ID]],[1]Enrollments!$B:$B,0))</f>
        <v>E1266</v>
      </c>
      <c r="D161">
        <v>12000</v>
      </c>
      <c r="E161" s="1">
        <v>45368.192922369657</v>
      </c>
      <c r="F161" t="s">
        <v>7</v>
      </c>
    </row>
    <row r="162" spans="1:6" x14ac:dyDescent="0.25">
      <c r="A162" t="s">
        <v>283</v>
      </c>
      <c r="B162" t="s">
        <v>53</v>
      </c>
      <c r="C162" s="4" t="str">
        <f>INDEX([1]Enrollments!$A:$A,MATCH(Transactions[[#This Row],[Student_ID]],[1]Enrollments!$B:$B,0))</f>
        <v>E1206</v>
      </c>
      <c r="D162">
        <v>7000</v>
      </c>
      <c r="E162" s="1">
        <v>45374.046020247013</v>
      </c>
      <c r="F162" t="s">
        <v>10</v>
      </c>
    </row>
    <row r="163" spans="1:6" x14ac:dyDescent="0.25">
      <c r="A163" t="s">
        <v>284</v>
      </c>
      <c r="B163" t="s">
        <v>183</v>
      </c>
      <c r="C163" s="4" t="str">
        <f>INDEX([1]Enrollments!$A:$A,MATCH(Transactions[[#This Row],[Student_ID]],[1]Enrollments!$B:$B,0))</f>
        <v>E1241</v>
      </c>
      <c r="D163">
        <v>12000</v>
      </c>
      <c r="E163" s="1">
        <v>45433.007039717893</v>
      </c>
      <c r="F163" t="s">
        <v>7</v>
      </c>
    </row>
    <row r="164" spans="1:6" x14ac:dyDescent="0.25">
      <c r="A164" t="s">
        <v>285</v>
      </c>
      <c r="B164" t="s">
        <v>76</v>
      </c>
      <c r="C164" t="str">
        <f>INDEX([1]Enrollments!$A:$A,MATCH(Transactions[[#This Row],[Student_ID]],[1]Enrollments!$B:$B,0))</f>
        <v>E1165</v>
      </c>
      <c r="D164">
        <v>7000</v>
      </c>
      <c r="E164" s="1">
        <v>45372.545945950253</v>
      </c>
      <c r="F164" t="s">
        <v>16</v>
      </c>
    </row>
    <row r="165" spans="1:6" x14ac:dyDescent="0.25">
      <c r="A165" t="s">
        <v>286</v>
      </c>
      <c r="B165" t="s">
        <v>94</v>
      </c>
      <c r="C165" s="4" t="str">
        <f>INDEX([1]Enrollments!$A:$A,MATCH(Transactions[[#This Row],[Student_ID]],[1]Enrollments!$B:$B,0))</f>
        <v>E1216</v>
      </c>
      <c r="D165">
        <v>12000</v>
      </c>
      <c r="E165" s="1">
        <v>45384.392643656633</v>
      </c>
      <c r="F165" t="s">
        <v>7</v>
      </c>
    </row>
    <row r="166" spans="1:6" x14ac:dyDescent="0.25">
      <c r="A166" t="s">
        <v>287</v>
      </c>
      <c r="B166" t="s">
        <v>145</v>
      </c>
      <c r="C166" t="str">
        <f>INDEX([1]Enrollments!$A:$A,MATCH(Transactions[[#This Row],[Student_ID]],[1]Enrollments!$B:$B,0))</f>
        <v>E1076</v>
      </c>
      <c r="D166">
        <v>7000</v>
      </c>
      <c r="E166" s="1">
        <v>45342.796193782233</v>
      </c>
      <c r="F166" t="s">
        <v>13</v>
      </c>
    </row>
    <row r="167" spans="1:6" x14ac:dyDescent="0.25">
      <c r="A167" t="s">
        <v>288</v>
      </c>
      <c r="B167" t="s">
        <v>289</v>
      </c>
      <c r="C167" t="str">
        <f>INDEX([1]Enrollments!$A:$A,MATCH(Transactions[[#This Row],[Student_ID]],[1]Enrollments!$B:$B,0))</f>
        <v>E1006</v>
      </c>
      <c r="D167">
        <v>9000</v>
      </c>
      <c r="E167" s="1">
        <v>45369.530602950967</v>
      </c>
      <c r="F167" t="s">
        <v>7</v>
      </c>
    </row>
    <row r="168" spans="1:6" x14ac:dyDescent="0.25">
      <c r="A168" t="s">
        <v>290</v>
      </c>
      <c r="B168" t="s">
        <v>291</v>
      </c>
      <c r="C168" t="str">
        <f>INDEX([1]Enrollments!$A:$A,MATCH(Transactions[[#This Row],[Student_ID]],[1]Enrollments!$B:$B,0))</f>
        <v>E1181</v>
      </c>
      <c r="D168">
        <v>9000</v>
      </c>
      <c r="E168" s="1">
        <v>45340.772116570843</v>
      </c>
      <c r="F168" t="s">
        <v>16</v>
      </c>
    </row>
    <row r="169" spans="1:6" x14ac:dyDescent="0.25">
      <c r="A169" t="s">
        <v>292</v>
      </c>
      <c r="B169" t="s">
        <v>247</v>
      </c>
      <c r="C169" t="str">
        <f>INDEX([1]Enrollments!$A:$A,MATCH(Transactions[[#This Row],[Student_ID]],[1]Enrollments!$B:$B,0))</f>
        <v>E1153</v>
      </c>
      <c r="D169">
        <v>9000</v>
      </c>
      <c r="E169" s="1">
        <v>45310.41959698237</v>
      </c>
      <c r="F169" t="s">
        <v>7</v>
      </c>
    </row>
    <row r="170" spans="1:6" x14ac:dyDescent="0.25">
      <c r="A170" t="s">
        <v>293</v>
      </c>
      <c r="B170" t="s">
        <v>48</v>
      </c>
      <c r="C170" t="str">
        <f>INDEX([1]Enrollments!$A:$A,MATCH(Transactions[[#This Row],[Student_ID]],[1]Enrollments!$B:$B,0))</f>
        <v>E1010</v>
      </c>
      <c r="D170">
        <v>9000</v>
      </c>
      <c r="E170" s="1">
        <v>45414.879372896117</v>
      </c>
      <c r="F170" t="s">
        <v>10</v>
      </c>
    </row>
    <row r="171" spans="1:6" x14ac:dyDescent="0.25">
      <c r="A171" t="s">
        <v>294</v>
      </c>
      <c r="B171" t="s">
        <v>295</v>
      </c>
      <c r="C171" t="str">
        <f>INDEX([1]Enrollments!$A:$A,MATCH(Transactions[[#This Row],[Student_ID]],[1]Enrollments!$B:$B,0))</f>
        <v>E1144</v>
      </c>
      <c r="D171">
        <v>9000</v>
      </c>
      <c r="E171" s="1">
        <v>45427.637921315327</v>
      </c>
      <c r="F171" t="s">
        <v>7</v>
      </c>
    </row>
    <row r="172" spans="1:6" x14ac:dyDescent="0.25">
      <c r="A172" t="s">
        <v>296</v>
      </c>
      <c r="B172" t="s">
        <v>187</v>
      </c>
      <c r="C172" t="str">
        <f>INDEX([1]Enrollments!$A:$A,MATCH(Transactions[[#This Row],[Student_ID]],[1]Enrollments!$B:$B,0))</f>
        <v>E1007</v>
      </c>
      <c r="D172">
        <v>12000</v>
      </c>
      <c r="E172" s="1">
        <v>45418.039598163887</v>
      </c>
      <c r="F172" t="s">
        <v>10</v>
      </c>
    </row>
    <row r="173" spans="1:6" x14ac:dyDescent="0.25">
      <c r="A173" t="s">
        <v>297</v>
      </c>
      <c r="B173" t="s">
        <v>298</v>
      </c>
      <c r="C173" t="str">
        <f>INDEX([1]Enrollments!$A:$A,MATCH(Transactions[[#This Row],[Student_ID]],[1]Enrollments!$B:$B,0))</f>
        <v>E1083</v>
      </c>
      <c r="D173">
        <v>12000</v>
      </c>
      <c r="E173" s="1">
        <v>45387.308326628707</v>
      </c>
      <c r="F173" t="s">
        <v>13</v>
      </c>
    </row>
    <row r="174" spans="1:6" x14ac:dyDescent="0.25">
      <c r="A174" t="s">
        <v>299</v>
      </c>
      <c r="B174" t="s">
        <v>300</v>
      </c>
      <c r="C174" s="4" t="str">
        <f>INDEX([1]Enrollments!$A:$A,MATCH(Transactions[[#This Row],[Student_ID]],[1]Enrollments!$B:$B,0))</f>
        <v>E1270</v>
      </c>
      <c r="D174">
        <v>12000</v>
      </c>
      <c r="E174" s="1">
        <v>45370.817798695301</v>
      </c>
      <c r="F174" t="s">
        <v>10</v>
      </c>
    </row>
    <row r="175" spans="1:6" x14ac:dyDescent="0.25">
      <c r="A175" t="s">
        <v>301</v>
      </c>
      <c r="B175" t="s">
        <v>76</v>
      </c>
      <c r="C175" t="str">
        <f>INDEX([1]Enrollments!$A:$A,MATCH(Transactions[[#This Row],[Student_ID]],[1]Enrollments!$B:$B,0))</f>
        <v>E1165</v>
      </c>
      <c r="D175">
        <v>7000</v>
      </c>
      <c r="E175" s="1">
        <v>45466.076728965651</v>
      </c>
      <c r="F175" t="s">
        <v>7</v>
      </c>
    </row>
    <row r="176" spans="1:6" x14ac:dyDescent="0.25">
      <c r="A176" t="s">
        <v>302</v>
      </c>
      <c r="B176" t="s">
        <v>303</v>
      </c>
      <c r="C176" t="str">
        <f>INDEX([1]Enrollments!$A:$A,MATCH(Transactions[[#This Row],[Student_ID]],[1]Enrollments!$B:$B,0))</f>
        <v>E1114</v>
      </c>
      <c r="D176">
        <v>7000</v>
      </c>
      <c r="E176" s="1">
        <v>45398.259111671832</v>
      </c>
      <c r="F176" t="s">
        <v>16</v>
      </c>
    </row>
    <row r="177" spans="1:6" x14ac:dyDescent="0.25">
      <c r="A177" t="s">
        <v>304</v>
      </c>
      <c r="B177" t="s">
        <v>27</v>
      </c>
      <c r="C177" t="str">
        <f>INDEX([1]Enrollments!$A:$A,MATCH(Transactions[[#This Row],[Student_ID]],[1]Enrollments!$B:$B,0))</f>
        <v>E1092</v>
      </c>
      <c r="D177">
        <v>7000</v>
      </c>
      <c r="E177" s="1">
        <v>45390.398829893064</v>
      </c>
      <c r="F177" t="s">
        <v>10</v>
      </c>
    </row>
    <row r="178" spans="1:6" x14ac:dyDescent="0.25">
      <c r="A178" t="s">
        <v>305</v>
      </c>
      <c r="B178" t="s">
        <v>306</v>
      </c>
      <c r="C178" t="str">
        <f>INDEX([1]Enrollments!$A:$A,MATCH(Transactions[[#This Row],[Student_ID]],[1]Enrollments!$B:$B,0))</f>
        <v>E1060</v>
      </c>
      <c r="D178">
        <v>7000</v>
      </c>
      <c r="E178" s="1">
        <v>45301.051486963857</v>
      </c>
      <c r="F178" t="s">
        <v>13</v>
      </c>
    </row>
    <row r="179" spans="1:6" x14ac:dyDescent="0.25">
      <c r="A179" t="s">
        <v>307</v>
      </c>
      <c r="B179" t="s">
        <v>201</v>
      </c>
      <c r="C179" t="str">
        <f>INDEX([1]Enrollments!$A:$A,MATCH(Transactions[[#This Row],[Student_ID]],[1]Enrollments!$B:$B,0))</f>
        <v>E1123</v>
      </c>
      <c r="D179">
        <v>9000</v>
      </c>
      <c r="E179" s="1">
        <v>45363.225822042346</v>
      </c>
      <c r="F179" t="s">
        <v>10</v>
      </c>
    </row>
    <row r="180" spans="1:6" x14ac:dyDescent="0.25">
      <c r="A180" t="s">
        <v>308</v>
      </c>
      <c r="B180" t="s">
        <v>309</v>
      </c>
      <c r="C180" s="4" t="str">
        <f>INDEX([1]Enrollments!$A:$A,MATCH(Transactions[[#This Row],[Student_ID]],[1]Enrollments!$B:$B,0))</f>
        <v>E1271</v>
      </c>
      <c r="D180">
        <v>9000</v>
      </c>
      <c r="E180" s="1">
        <v>45370.898536900808</v>
      </c>
      <c r="F180" t="s">
        <v>10</v>
      </c>
    </row>
    <row r="181" spans="1:6" x14ac:dyDescent="0.25">
      <c r="A181" t="s">
        <v>310</v>
      </c>
      <c r="B181" t="s">
        <v>311</v>
      </c>
      <c r="C181" t="str">
        <f>INDEX([1]Enrollments!$A:$A,MATCH(Transactions[[#This Row],[Student_ID]],[1]Enrollments!$B:$B,0))</f>
        <v>E1075</v>
      </c>
      <c r="D181">
        <v>9000</v>
      </c>
      <c r="E181" s="1">
        <v>45374.568087836677</v>
      </c>
      <c r="F181" t="s">
        <v>10</v>
      </c>
    </row>
    <row r="182" spans="1:6" x14ac:dyDescent="0.25">
      <c r="A182" t="s">
        <v>312</v>
      </c>
      <c r="B182" t="s">
        <v>76</v>
      </c>
      <c r="C182" t="str">
        <f>INDEX([1]Enrollments!$A:$A,MATCH(Transactions[[#This Row],[Student_ID]],[1]Enrollments!$B:$B,0))</f>
        <v>E1165</v>
      </c>
      <c r="D182">
        <v>5000</v>
      </c>
      <c r="E182" s="1">
        <v>45410.293956737783</v>
      </c>
      <c r="F182" t="s">
        <v>13</v>
      </c>
    </row>
    <row r="183" spans="1:6" x14ac:dyDescent="0.25">
      <c r="A183" t="s">
        <v>313</v>
      </c>
      <c r="B183" t="s">
        <v>314</v>
      </c>
      <c r="C183" t="str">
        <f>INDEX([1]Enrollments!$A:$A,MATCH(Transactions[[#This Row],[Student_ID]],[1]Enrollments!$B:$B,0))</f>
        <v>E1059</v>
      </c>
      <c r="D183">
        <v>12000</v>
      </c>
      <c r="E183" s="1">
        <v>45401.119701705182</v>
      </c>
      <c r="F183" t="s">
        <v>7</v>
      </c>
    </row>
    <row r="184" spans="1:6" x14ac:dyDescent="0.25">
      <c r="A184" t="s">
        <v>315</v>
      </c>
      <c r="B184" t="s">
        <v>316</v>
      </c>
      <c r="C184" t="str">
        <f>INDEX([1]Enrollments!$A:$A,MATCH(Transactions[[#This Row],[Student_ID]],[1]Enrollments!$B:$B,0))</f>
        <v>E1143</v>
      </c>
      <c r="D184">
        <v>7000</v>
      </c>
      <c r="E184" s="1">
        <v>45415.757303280297</v>
      </c>
      <c r="F184" t="s">
        <v>10</v>
      </c>
    </row>
    <row r="185" spans="1:6" x14ac:dyDescent="0.25">
      <c r="A185" t="s">
        <v>317</v>
      </c>
      <c r="B185" t="s">
        <v>318</v>
      </c>
      <c r="C185" s="4" t="str">
        <f>INDEX([1]Enrollments!$A:$A,MATCH(Transactions[[#This Row],[Student_ID]],[1]Enrollments!$B:$B,0))</f>
        <v>E1272</v>
      </c>
      <c r="D185">
        <v>7000</v>
      </c>
      <c r="E185" s="1">
        <v>45446.682002523798</v>
      </c>
      <c r="F185" t="s">
        <v>10</v>
      </c>
    </row>
    <row r="186" spans="1:6" x14ac:dyDescent="0.25">
      <c r="A186" t="s">
        <v>319</v>
      </c>
      <c r="B186" t="s">
        <v>320</v>
      </c>
      <c r="C186" t="str">
        <f>INDEX([1]Enrollments!$A:$A,MATCH(Transactions[[#This Row],[Student_ID]],[1]Enrollments!$B:$B,0))</f>
        <v>E1118</v>
      </c>
      <c r="D186">
        <v>9000</v>
      </c>
      <c r="E186" s="1">
        <v>45456.158190527058</v>
      </c>
      <c r="F186" t="s">
        <v>16</v>
      </c>
    </row>
    <row r="187" spans="1:6" x14ac:dyDescent="0.25">
      <c r="A187" t="s">
        <v>321</v>
      </c>
      <c r="B187" t="s">
        <v>322</v>
      </c>
      <c r="C187" s="4" t="str">
        <f>INDEX([1]Enrollments!$A:$A,MATCH(Transactions[[#This Row],[Student_ID]],[1]Enrollments!$B:$B,0))</f>
        <v>E1273</v>
      </c>
      <c r="D187">
        <v>7000</v>
      </c>
      <c r="E187" s="1">
        <v>45437.470246016623</v>
      </c>
      <c r="F187" t="s">
        <v>13</v>
      </c>
    </row>
    <row r="188" spans="1:6" x14ac:dyDescent="0.25">
      <c r="A188" t="s">
        <v>323</v>
      </c>
      <c r="B188" t="s">
        <v>277</v>
      </c>
      <c r="C188" s="4" t="str">
        <f>INDEX([1]Enrollments!$A:$A,MATCH(Transactions[[#This Row],[Student_ID]],[1]Enrollments!$B:$B,0))</f>
        <v>E1265</v>
      </c>
      <c r="D188">
        <v>7000</v>
      </c>
      <c r="E188" s="1">
        <v>45484.238168103111</v>
      </c>
      <c r="F188" t="s">
        <v>10</v>
      </c>
    </row>
    <row r="189" spans="1:6" x14ac:dyDescent="0.25">
      <c r="A189" t="s">
        <v>324</v>
      </c>
      <c r="B189" t="s">
        <v>325</v>
      </c>
      <c r="C189" t="str">
        <f>INDEX([1]Enrollments!$A:$A,MATCH(Transactions[[#This Row],[Student_ID]],[1]Enrollments!$B:$B,0))</f>
        <v>E1172</v>
      </c>
      <c r="D189">
        <v>12000</v>
      </c>
      <c r="E189" s="1">
        <v>45299.59181878723</v>
      </c>
      <c r="F189" t="s">
        <v>13</v>
      </c>
    </row>
    <row r="190" spans="1:6" x14ac:dyDescent="0.25">
      <c r="A190" t="s">
        <v>326</v>
      </c>
      <c r="B190" t="s">
        <v>250</v>
      </c>
      <c r="C190" s="4" t="str">
        <f>INDEX([1]Enrollments!$A:$A,MATCH(Transactions[[#This Row],[Student_ID]],[1]Enrollments!$B:$B,0))</f>
        <v>E1258</v>
      </c>
      <c r="D190">
        <v>9000</v>
      </c>
      <c r="E190" s="1">
        <v>45334.568263179652</v>
      </c>
      <c r="F190" t="s">
        <v>10</v>
      </c>
    </row>
    <row r="191" spans="1:6" x14ac:dyDescent="0.25">
      <c r="A191" t="s">
        <v>327</v>
      </c>
      <c r="B191" t="s">
        <v>328</v>
      </c>
      <c r="C191" t="str">
        <f>INDEX([1]Enrollments!$A:$A,MATCH(Transactions[[#This Row],[Student_ID]],[1]Enrollments!$B:$B,0))</f>
        <v>E1087</v>
      </c>
      <c r="D191">
        <v>12000</v>
      </c>
      <c r="E191" s="1">
        <v>45297.489886370677</v>
      </c>
      <c r="F191" t="s">
        <v>7</v>
      </c>
    </row>
    <row r="192" spans="1:6" x14ac:dyDescent="0.25">
      <c r="A192" t="s">
        <v>329</v>
      </c>
      <c r="B192" t="s">
        <v>80</v>
      </c>
      <c r="C192" t="str">
        <f>INDEX([1]Enrollments!$A:$A,MATCH(Transactions[[#This Row],[Student_ID]],[1]Enrollments!$B:$B,0))</f>
        <v>E1194</v>
      </c>
      <c r="D192">
        <v>5000</v>
      </c>
      <c r="E192" s="1">
        <v>45423.552518688448</v>
      </c>
      <c r="F192" t="s">
        <v>7</v>
      </c>
    </row>
    <row r="193" spans="1:6" x14ac:dyDescent="0.25">
      <c r="A193" t="s">
        <v>330</v>
      </c>
      <c r="B193" t="s">
        <v>123</v>
      </c>
      <c r="C193" t="str">
        <f>INDEX([1]Enrollments!$A:$A,MATCH(Transactions[[#This Row],[Student_ID]],[1]Enrollments!$B:$B,0))</f>
        <v>E1163</v>
      </c>
      <c r="D193">
        <v>5000</v>
      </c>
      <c r="E193" s="1">
        <v>45472.91201814315</v>
      </c>
      <c r="F193" t="s">
        <v>10</v>
      </c>
    </row>
    <row r="194" spans="1:6" x14ac:dyDescent="0.25">
      <c r="A194" t="s">
        <v>331</v>
      </c>
      <c r="B194" t="s">
        <v>332</v>
      </c>
      <c r="C194" t="str">
        <f>INDEX([1]Enrollments!$A:$A,MATCH(Transactions[[#This Row],[Student_ID]],[1]Enrollments!$B:$B,0))</f>
        <v>E1178</v>
      </c>
      <c r="D194">
        <v>5000</v>
      </c>
      <c r="E194" s="1">
        <v>45343.966012425517</v>
      </c>
      <c r="F194" t="s">
        <v>7</v>
      </c>
    </row>
    <row r="195" spans="1:6" x14ac:dyDescent="0.25">
      <c r="A195" t="s">
        <v>333</v>
      </c>
      <c r="B195" t="s">
        <v>71</v>
      </c>
      <c r="C195" t="str">
        <f>INDEX([1]Enrollments!$A:$A,MATCH(Transactions[[#This Row],[Student_ID]],[1]Enrollments!$B:$B,0))</f>
        <v>E1168</v>
      </c>
      <c r="D195">
        <v>9000</v>
      </c>
      <c r="E195" s="1">
        <v>45478.625805324868</v>
      </c>
      <c r="F195" t="s">
        <v>10</v>
      </c>
    </row>
    <row r="196" spans="1:6" x14ac:dyDescent="0.25">
      <c r="A196" t="s">
        <v>334</v>
      </c>
      <c r="B196" t="s">
        <v>154</v>
      </c>
      <c r="C196" t="str">
        <f>INDEX([1]Enrollments!$A:$A,MATCH(Transactions[[#This Row],[Student_ID]],[1]Enrollments!$B:$B,0))</f>
        <v>E1044</v>
      </c>
      <c r="D196">
        <v>7000</v>
      </c>
      <c r="E196" s="1">
        <v>45307.87267588704</v>
      </c>
      <c r="F196" t="s">
        <v>7</v>
      </c>
    </row>
    <row r="197" spans="1:6" x14ac:dyDescent="0.25">
      <c r="A197" t="s">
        <v>335</v>
      </c>
      <c r="B197" t="s">
        <v>336</v>
      </c>
      <c r="C197" s="4" t="str">
        <f>INDEX([1]Enrollments!$A:$A,MATCH(Transactions[[#This Row],[Student_ID]],[1]Enrollments!$B:$B,0))</f>
        <v>E1276</v>
      </c>
      <c r="D197">
        <v>9000</v>
      </c>
      <c r="E197" s="1">
        <v>45480.083897280681</v>
      </c>
      <c r="F197" t="s">
        <v>16</v>
      </c>
    </row>
    <row r="198" spans="1:6" x14ac:dyDescent="0.25">
      <c r="A198" t="s">
        <v>337</v>
      </c>
      <c r="B198" t="s">
        <v>21</v>
      </c>
      <c r="C198" t="str">
        <f>INDEX([1]Enrollments!$A:$A,MATCH(Transactions[[#This Row],[Student_ID]],[1]Enrollments!$B:$B,0))</f>
        <v>E1013</v>
      </c>
      <c r="D198">
        <v>9000</v>
      </c>
      <c r="E198" s="1">
        <v>45365.269669386202</v>
      </c>
      <c r="F198" t="s">
        <v>16</v>
      </c>
    </row>
    <row r="199" spans="1:6" x14ac:dyDescent="0.25">
      <c r="A199" t="s">
        <v>338</v>
      </c>
      <c r="B199" t="s">
        <v>63</v>
      </c>
      <c r="C199" t="str">
        <f>INDEX([1]Enrollments!$A:$A,MATCH(Transactions[[#This Row],[Student_ID]],[1]Enrollments!$B:$B,0))</f>
        <v>E1052</v>
      </c>
      <c r="D199">
        <v>7000</v>
      </c>
      <c r="E199" s="1">
        <v>45315.97990320449</v>
      </c>
      <c r="F199" t="s">
        <v>16</v>
      </c>
    </row>
    <row r="200" spans="1:6" x14ac:dyDescent="0.25">
      <c r="A200" t="s">
        <v>339</v>
      </c>
      <c r="B200" t="s">
        <v>96</v>
      </c>
      <c r="C200" s="4" t="str">
        <f>INDEX([1]Enrollments!$A:$A,MATCH(Transactions[[#This Row],[Student_ID]],[1]Enrollments!$B:$B,0))</f>
        <v>E1217</v>
      </c>
      <c r="D200">
        <v>12000</v>
      </c>
      <c r="E200" s="1">
        <v>45391.716736559698</v>
      </c>
      <c r="F200" t="s">
        <v>13</v>
      </c>
    </row>
    <row r="201" spans="1:6" x14ac:dyDescent="0.25">
      <c r="A201" t="s">
        <v>340</v>
      </c>
      <c r="B201" t="s">
        <v>325</v>
      </c>
      <c r="C201" t="str">
        <f>INDEX([1]Enrollments!$A:$A,MATCH(Transactions[[#This Row],[Student_ID]],[1]Enrollments!$B:$B,0))</f>
        <v>E1172</v>
      </c>
      <c r="D201">
        <v>5000</v>
      </c>
      <c r="E201" s="1">
        <v>45346.584983840927</v>
      </c>
      <c r="F201" t="s">
        <v>13</v>
      </c>
    </row>
  </sheetData>
  <mergeCells count="1">
    <mergeCell ref="K4:O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abSelected="1" workbookViewId="0">
      <selection activeCell="I7" sqref="I7"/>
    </sheetView>
  </sheetViews>
  <sheetFormatPr defaultRowHeight="15" x14ac:dyDescent="0.25"/>
  <cols>
    <col min="1" max="1" width="12.42578125" customWidth="1"/>
    <col min="2" max="2" width="16.140625" customWidth="1"/>
    <col min="3" max="3" width="18.42578125" bestFit="1" customWidth="1"/>
    <col min="4" max="4" width="17.7109375" customWidth="1"/>
    <col min="5" max="5" width="18.28515625" bestFit="1" customWidth="1"/>
  </cols>
  <sheetData>
    <row r="1" spans="1:5" x14ac:dyDescent="0.25">
      <c r="A1" s="2" t="s">
        <v>341</v>
      </c>
      <c r="B1" s="2" t="s">
        <v>0</v>
      </c>
      <c r="C1" s="6" t="s">
        <v>394</v>
      </c>
      <c r="D1" s="2" t="s">
        <v>342</v>
      </c>
      <c r="E1" s="2" t="s">
        <v>343</v>
      </c>
    </row>
    <row r="2" spans="1:5" x14ac:dyDescent="0.25">
      <c r="A2" t="s">
        <v>344</v>
      </c>
      <c r="B2" t="s">
        <v>117</v>
      </c>
      <c r="C2" s="4" t="str">
        <f>_xlfn.XLOOKUP(Refunds[[#This Row],[Transaction_ID]],Transactions!A:A,Transactions!C:C)</f>
        <v>E1219</v>
      </c>
      <c r="D2">
        <v>12000</v>
      </c>
      <c r="E2" s="1">
        <v>45348.852286242123</v>
      </c>
    </row>
    <row r="3" spans="1:5" x14ac:dyDescent="0.25">
      <c r="A3" t="s">
        <v>345</v>
      </c>
      <c r="B3" t="s">
        <v>307</v>
      </c>
      <c r="C3" s="4" t="str">
        <f>_xlfn.XLOOKUP(Refunds[[#This Row],[Transaction_ID]],Transactions!A:A,Transactions!C:C)</f>
        <v>E1123</v>
      </c>
      <c r="D3">
        <v>9000</v>
      </c>
      <c r="E3" s="1">
        <v>45372.225822042346</v>
      </c>
    </row>
    <row r="4" spans="1:5" x14ac:dyDescent="0.25">
      <c r="A4" t="s">
        <v>346</v>
      </c>
      <c r="B4" t="s">
        <v>233</v>
      </c>
      <c r="C4" s="4" t="str">
        <f>_xlfn.XLOOKUP(Refunds[[#This Row],[Transaction_ID]],Transactions!A:A,Transactions!C:C)</f>
        <v>E1202</v>
      </c>
      <c r="D4">
        <v>7000</v>
      </c>
      <c r="E4" s="1">
        <v>45303.986250760267</v>
      </c>
    </row>
    <row r="5" spans="1:5" x14ac:dyDescent="0.25">
      <c r="A5" t="s">
        <v>347</v>
      </c>
      <c r="B5" t="s">
        <v>93</v>
      </c>
      <c r="C5" s="4" t="str">
        <f>_xlfn.XLOOKUP(Refunds[[#This Row],[Transaction_ID]],Transactions!A:A,Transactions!C:C)</f>
        <v>E1216</v>
      </c>
      <c r="D5">
        <v>7000</v>
      </c>
      <c r="E5" s="1">
        <v>45340.652459683763</v>
      </c>
    </row>
    <row r="6" spans="1:5" x14ac:dyDescent="0.25">
      <c r="A6" t="s">
        <v>348</v>
      </c>
      <c r="B6" t="s">
        <v>95</v>
      </c>
      <c r="C6" s="4" t="str">
        <f>_xlfn.XLOOKUP(Refunds[[#This Row],[Transaction_ID]],Transactions!A:A,Transactions!C:C)</f>
        <v>E1217</v>
      </c>
      <c r="D6">
        <v>9000</v>
      </c>
      <c r="E6" s="1">
        <v>45466.3138633938</v>
      </c>
    </row>
    <row r="7" spans="1:5" x14ac:dyDescent="0.25">
      <c r="A7" t="s">
        <v>349</v>
      </c>
      <c r="B7" t="s">
        <v>107</v>
      </c>
      <c r="C7" s="4" t="str">
        <f>_xlfn.XLOOKUP(Refunds[[#This Row],[Transaction_ID]],Transactions!A:A,Transactions!C:C)</f>
        <v>E1046</v>
      </c>
      <c r="D7">
        <v>7000</v>
      </c>
      <c r="E7" s="1">
        <v>45368.768973771737</v>
      </c>
    </row>
    <row r="8" spans="1:5" x14ac:dyDescent="0.25">
      <c r="A8" t="s">
        <v>350</v>
      </c>
      <c r="B8" t="s">
        <v>326</v>
      </c>
      <c r="C8" s="4" t="str">
        <f>_xlfn.XLOOKUP(Refunds[[#This Row],[Transaction_ID]],Transactions!A:A,Transactions!C:C)</f>
        <v>E1258</v>
      </c>
      <c r="D8">
        <v>9000</v>
      </c>
      <c r="E8" s="1">
        <v>45336.568263179652</v>
      </c>
    </row>
    <row r="9" spans="1:5" x14ac:dyDescent="0.25">
      <c r="A9" t="s">
        <v>351</v>
      </c>
      <c r="B9" t="s">
        <v>52</v>
      </c>
      <c r="C9" s="4" t="str">
        <f>_xlfn.XLOOKUP(Refunds[[#This Row],[Transaction_ID]],Transactions!A:A,Transactions!C:C)</f>
        <v>E1206</v>
      </c>
      <c r="D9">
        <v>9000</v>
      </c>
      <c r="E9" s="1">
        <v>45306.901510708252</v>
      </c>
    </row>
    <row r="10" spans="1:5" x14ac:dyDescent="0.25">
      <c r="A10" t="s">
        <v>352</v>
      </c>
      <c r="B10" t="s">
        <v>146</v>
      </c>
      <c r="C10" s="4" t="str">
        <f>_xlfn.XLOOKUP(Refunds[[#This Row],[Transaction_ID]],Transactions!A:A,Transactions!C:C)</f>
        <v>E1096</v>
      </c>
      <c r="D10">
        <v>5000</v>
      </c>
      <c r="E10" s="1">
        <v>45334.020985608797</v>
      </c>
    </row>
    <row r="11" spans="1:5" x14ac:dyDescent="0.25">
      <c r="A11" t="s">
        <v>353</v>
      </c>
      <c r="B11" t="s">
        <v>142</v>
      </c>
      <c r="C11" s="4" t="str">
        <f>_xlfn.XLOOKUP(Refunds[[#This Row],[Transaction_ID]],Transactions!A:A,Transactions!C:C)</f>
        <v>E1154</v>
      </c>
      <c r="D11">
        <v>12000</v>
      </c>
      <c r="E11" s="1">
        <v>45444.235111726433</v>
      </c>
    </row>
    <row r="12" spans="1:5" x14ac:dyDescent="0.25">
      <c r="A12" t="s">
        <v>354</v>
      </c>
      <c r="B12" t="s">
        <v>301</v>
      </c>
      <c r="C12" s="4" t="str">
        <f>_xlfn.XLOOKUP(Refunds[[#This Row],[Transaction_ID]],Transactions!A:A,Transactions!C:C)</f>
        <v>E1165</v>
      </c>
      <c r="D12">
        <v>7000</v>
      </c>
      <c r="E12" s="1">
        <v>45472.076728965651</v>
      </c>
    </row>
    <row r="13" spans="1:5" x14ac:dyDescent="0.25">
      <c r="A13" t="s">
        <v>355</v>
      </c>
      <c r="B13" t="s">
        <v>205</v>
      </c>
      <c r="C13" s="4" t="str">
        <f>_xlfn.XLOOKUP(Refunds[[#This Row],[Transaction_ID]],Transactions!A:A,Transactions!C:C)</f>
        <v>E1239</v>
      </c>
      <c r="D13">
        <v>5000</v>
      </c>
      <c r="E13" s="1">
        <v>45436.822110259112</v>
      </c>
    </row>
    <row r="14" spans="1:5" x14ac:dyDescent="0.25">
      <c r="A14" t="s">
        <v>356</v>
      </c>
      <c r="B14" t="s">
        <v>136</v>
      </c>
      <c r="C14" s="4" t="str">
        <f>_xlfn.XLOOKUP(Refunds[[#This Row],[Transaction_ID]],Transactions!A:A,Transactions!C:C)</f>
        <v>E1210</v>
      </c>
      <c r="D14">
        <v>5000</v>
      </c>
      <c r="E14" s="1">
        <v>45365.389625756958</v>
      </c>
    </row>
    <row r="15" spans="1:5" x14ac:dyDescent="0.25">
      <c r="A15" t="s">
        <v>357</v>
      </c>
      <c r="B15" t="s">
        <v>192</v>
      </c>
      <c r="C15" s="4" t="str">
        <f>_xlfn.XLOOKUP(Refunds[[#This Row],[Transaction_ID]],Transactions!A:A,Transactions!C:C)</f>
        <v>E1213</v>
      </c>
      <c r="D15">
        <v>5000</v>
      </c>
      <c r="E15" s="1">
        <v>45424.906627749653</v>
      </c>
    </row>
    <row r="16" spans="1:5" x14ac:dyDescent="0.25">
      <c r="A16" t="s">
        <v>358</v>
      </c>
      <c r="B16" t="s">
        <v>44</v>
      </c>
      <c r="C16" s="4" t="str">
        <f>_xlfn.XLOOKUP(Refunds[[#This Row],[Transaction_ID]],Transactions!A:A,Transactions!C:C)</f>
        <v>E1057</v>
      </c>
      <c r="D16">
        <v>12000</v>
      </c>
      <c r="E16" s="1">
        <v>45445.313184676394</v>
      </c>
    </row>
    <row r="17" spans="1:5" x14ac:dyDescent="0.25">
      <c r="A17" t="s">
        <v>359</v>
      </c>
      <c r="B17" t="s">
        <v>260</v>
      </c>
      <c r="C17" s="4" t="str">
        <f>_xlfn.XLOOKUP(Refunds[[#This Row],[Transaction_ID]],Transactions!A:A,Transactions!C:C)</f>
        <v>E1034</v>
      </c>
      <c r="D17">
        <v>5000</v>
      </c>
      <c r="E17" s="1">
        <v>45450.474494222501</v>
      </c>
    </row>
    <row r="18" spans="1:5" x14ac:dyDescent="0.25">
      <c r="A18" t="s">
        <v>360</v>
      </c>
      <c r="B18" t="s">
        <v>90</v>
      </c>
      <c r="C18" s="4" t="str">
        <f>_xlfn.XLOOKUP(Refunds[[#This Row],[Transaction_ID]],Transactions!A:A,Transactions!C:C)</f>
        <v>E1193</v>
      </c>
      <c r="D18">
        <v>12000</v>
      </c>
      <c r="E18" s="1">
        <v>45347.796035009997</v>
      </c>
    </row>
    <row r="19" spans="1:5" x14ac:dyDescent="0.25">
      <c r="A19" t="s">
        <v>361</v>
      </c>
      <c r="B19" t="s">
        <v>197</v>
      </c>
      <c r="C19" s="4" t="str">
        <f>_xlfn.XLOOKUP(Refunds[[#This Row],[Transaction_ID]],Transactions!A:A,Transactions!C:C)</f>
        <v>E1102</v>
      </c>
      <c r="D19">
        <v>12000</v>
      </c>
      <c r="E19" s="1">
        <v>45401.3027763106</v>
      </c>
    </row>
    <row r="20" spans="1:5" x14ac:dyDescent="0.25">
      <c r="A20" t="s">
        <v>362</v>
      </c>
      <c r="B20" t="s">
        <v>302</v>
      </c>
      <c r="C20" s="4" t="str">
        <f>_xlfn.XLOOKUP(Refunds[[#This Row],[Transaction_ID]],Transactions!A:A,Transactions!C:C)</f>
        <v>E1114</v>
      </c>
      <c r="D20">
        <v>7000</v>
      </c>
      <c r="E20" s="1">
        <v>45404.259111671832</v>
      </c>
    </row>
    <row r="21" spans="1:5" x14ac:dyDescent="0.25">
      <c r="A21" t="s">
        <v>363</v>
      </c>
      <c r="B21" t="s">
        <v>216</v>
      </c>
      <c r="C21" s="4" t="str">
        <f>_xlfn.XLOOKUP(Refunds[[#This Row],[Transaction_ID]],Transactions!A:A,Transactions!C:C)</f>
        <v>E1061</v>
      </c>
      <c r="D21">
        <v>7000</v>
      </c>
      <c r="E21" s="1">
        <v>45472.024024112361</v>
      </c>
    </row>
    <row r="22" spans="1:5" x14ac:dyDescent="0.25">
      <c r="A22" t="s">
        <v>364</v>
      </c>
      <c r="B22" t="s">
        <v>226</v>
      </c>
      <c r="C22" s="4" t="str">
        <f>_xlfn.XLOOKUP(Refunds[[#This Row],[Transaction_ID]],Transactions!A:A,Transactions!C:C)</f>
        <v>E1240</v>
      </c>
      <c r="D22">
        <v>5000</v>
      </c>
      <c r="E22" s="1">
        <v>45397.94342850965</v>
      </c>
    </row>
    <row r="23" spans="1:5" x14ac:dyDescent="0.25">
      <c r="A23" t="s">
        <v>365</v>
      </c>
      <c r="B23" t="s">
        <v>290</v>
      </c>
      <c r="C23" s="4" t="str">
        <f>_xlfn.XLOOKUP(Refunds[[#This Row],[Transaction_ID]],Transactions!A:A,Transactions!C:C)</f>
        <v>E1181</v>
      </c>
      <c r="D23">
        <v>9000</v>
      </c>
      <c r="E23" s="1">
        <v>45348.772116570843</v>
      </c>
    </row>
    <row r="24" spans="1:5" x14ac:dyDescent="0.25">
      <c r="A24" t="s">
        <v>366</v>
      </c>
      <c r="B24" t="s">
        <v>261</v>
      </c>
      <c r="C24" s="4" t="str">
        <f>_xlfn.XLOOKUP(Refunds[[#This Row],[Transaction_ID]],Transactions!A:A,Transactions!C:C)</f>
        <v>E1262</v>
      </c>
      <c r="D24">
        <v>9000</v>
      </c>
      <c r="E24" s="1">
        <v>45472.067565576363</v>
      </c>
    </row>
    <row r="25" spans="1:5" x14ac:dyDescent="0.25">
      <c r="A25" t="s">
        <v>367</v>
      </c>
      <c r="B25" t="s">
        <v>330</v>
      </c>
      <c r="C25" s="4" t="str">
        <f>_xlfn.XLOOKUP(Refunds[[#This Row],[Transaction_ID]],Transactions!A:A,Transactions!C:C)</f>
        <v>E1163</v>
      </c>
      <c r="D25">
        <v>5000</v>
      </c>
      <c r="E25" s="1">
        <v>45481.91201814315</v>
      </c>
    </row>
    <row r="26" spans="1:5" x14ac:dyDescent="0.25">
      <c r="A26" t="s">
        <v>368</v>
      </c>
      <c r="B26" t="s">
        <v>139</v>
      </c>
      <c r="C26" s="4" t="str">
        <f>_xlfn.XLOOKUP(Refunds[[#This Row],[Transaction_ID]],Transactions!A:A,Transactions!C:C)</f>
        <v>E1215</v>
      </c>
      <c r="D26">
        <v>12000</v>
      </c>
      <c r="E26" s="1">
        <v>45384.884842161373</v>
      </c>
    </row>
    <row r="27" spans="1:5" x14ac:dyDescent="0.25">
      <c r="A27" t="s">
        <v>369</v>
      </c>
      <c r="B27" t="s">
        <v>213</v>
      </c>
      <c r="C27" s="4" t="str">
        <f>_xlfn.XLOOKUP(Refunds[[#This Row],[Transaction_ID]],Transactions!A:A,Transactions!C:C)</f>
        <v>E1069</v>
      </c>
      <c r="D27">
        <v>12000</v>
      </c>
      <c r="E27" s="1">
        <v>45435.502617290353</v>
      </c>
    </row>
    <row r="28" spans="1:5" x14ac:dyDescent="0.25">
      <c r="A28" t="s">
        <v>370</v>
      </c>
      <c r="B28" t="s">
        <v>147</v>
      </c>
      <c r="C28" s="4" t="str">
        <f>_xlfn.XLOOKUP(Refunds[[#This Row],[Transaction_ID]],Transactions!A:A,Transactions!C:C)</f>
        <v>E1018</v>
      </c>
      <c r="D28">
        <v>12000</v>
      </c>
      <c r="E28" s="1">
        <v>45312.224271105901</v>
      </c>
    </row>
    <row r="29" spans="1:5" x14ac:dyDescent="0.25">
      <c r="A29" t="s">
        <v>371</v>
      </c>
      <c r="B29" t="s">
        <v>169</v>
      </c>
      <c r="C29" s="4" t="str">
        <f>_xlfn.XLOOKUP(Refunds[[#This Row],[Transaction_ID]],Transactions!A:A,Transactions!C:C)</f>
        <v>E1102</v>
      </c>
      <c r="D29">
        <v>5000</v>
      </c>
      <c r="E29" s="1">
        <v>45482.51132138211</v>
      </c>
    </row>
    <row r="30" spans="1:5" x14ac:dyDescent="0.25">
      <c r="A30" t="s">
        <v>372</v>
      </c>
      <c r="B30" t="s">
        <v>229</v>
      </c>
      <c r="C30" s="4" t="str">
        <f>_xlfn.XLOOKUP(Refunds[[#This Row],[Transaction_ID]],Transactions!A:A,Transactions!C:C)</f>
        <v>E1252</v>
      </c>
      <c r="D30">
        <v>12000</v>
      </c>
      <c r="E30" s="1">
        <v>45475.174281942302</v>
      </c>
    </row>
    <row r="31" spans="1:5" x14ac:dyDescent="0.25">
      <c r="A31" t="s">
        <v>373</v>
      </c>
      <c r="B31" t="s">
        <v>56</v>
      </c>
      <c r="C31" s="4" t="str">
        <f>_xlfn.XLOOKUP(Refunds[[#This Row],[Transaction_ID]],Transactions!A:A,Transactions!C:C)</f>
        <v>E1208</v>
      </c>
      <c r="D31">
        <v>12000</v>
      </c>
      <c r="E31" s="1">
        <v>45411.999055488748</v>
      </c>
    </row>
    <row r="32" spans="1:5" x14ac:dyDescent="0.25">
      <c r="A32" t="s">
        <v>374</v>
      </c>
      <c r="B32" t="s">
        <v>284</v>
      </c>
      <c r="C32" s="4" t="str">
        <f>_xlfn.XLOOKUP(Refunds[[#This Row],[Transaction_ID]],Transactions!A:A,Transactions!C:C)</f>
        <v>E1241</v>
      </c>
      <c r="D32">
        <v>12000</v>
      </c>
      <c r="E32" s="1">
        <v>45438.007039717893</v>
      </c>
    </row>
    <row r="33" spans="1:5" x14ac:dyDescent="0.25">
      <c r="A33" t="s">
        <v>375</v>
      </c>
      <c r="B33" t="s">
        <v>312</v>
      </c>
      <c r="C33" s="4" t="str">
        <f>_xlfn.XLOOKUP(Refunds[[#This Row],[Transaction_ID]],Transactions!A:A,Transactions!C:C)</f>
        <v>E1165</v>
      </c>
      <c r="D33">
        <v>5000</v>
      </c>
      <c r="E33" s="1">
        <v>45418.293956737783</v>
      </c>
    </row>
    <row r="34" spans="1:5" x14ac:dyDescent="0.25">
      <c r="A34" t="s">
        <v>376</v>
      </c>
      <c r="B34" t="s">
        <v>5</v>
      </c>
      <c r="C34" s="4" t="str">
        <f>_xlfn.XLOOKUP(Refunds[[#This Row],[Transaction_ID]],Transactions!A:A,Transactions!C:C)</f>
        <v>E1031</v>
      </c>
      <c r="D34">
        <v>7000</v>
      </c>
      <c r="E34" s="1">
        <v>45340.877229390673</v>
      </c>
    </row>
    <row r="35" spans="1:5" x14ac:dyDescent="0.25">
      <c r="A35" t="s">
        <v>377</v>
      </c>
      <c r="B35" t="s">
        <v>168</v>
      </c>
      <c r="C35" s="4" t="str">
        <f>_xlfn.XLOOKUP(Refunds[[#This Row],[Transaction_ID]],Transactions!A:A,Transactions!C:C)</f>
        <v>E1207</v>
      </c>
      <c r="D35">
        <v>5000</v>
      </c>
      <c r="E35" s="1">
        <v>45406.640397016206</v>
      </c>
    </row>
    <row r="36" spans="1:5" x14ac:dyDescent="0.25">
      <c r="A36" t="s">
        <v>378</v>
      </c>
      <c r="B36" t="s">
        <v>276</v>
      </c>
      <c r="C36" s="4" t="str">
        <f>_xlfn.XLOOKUP(Refunds[[#This Row],[Transaction_ID]],Transactions!A:A,Transactions!C:C)</f>
        <v>E1265</v>
      </c>
      <c r="D36">
        <v>7000</v>
      </c>
      <c r="E36" s="1">
        <v>45407.264352298283</v>
      </c>
    </row>
    <row r="37" spans="1:5" x14ac:dyDescent="0.25">
      <c r="A37" t="s">
        <v>379</v>
      </c>
      <c r="B37" t="s">
        <v>155</v>
      </c>
      <c r="C37" s="4" t="str">
        <f>_xlfn.XLOOKUP(Refunds[[#This Row],[Transaction_ID]],Transactions!A:A,Transactions!C:C)</f>
        <v>E1231</v>
      </c>
      <c r="D37">
        <v>12000</v>
      </c>
      <c r="E37" s="1">
        <v>45468.301578446932</v>
      </c>
    </row>
    <row r="38" spans="1:5" x14ac:dyDescent="0.25">
      <c r="A38" t="s">
        <v>380</v>
      </c>
      <c r="B38" t="s">
        <v>246</v>
      </c>
      <c r="C38" s="4" t="str">
        <f>_xlfn.XLOOKUP(Refunds[[#This Row],[Transaction_ID]],Transactions!A:A,Transactions!C:C)</f>
        <v>E1153</v>
      </c>
      <c r="D38">
        <v>7000</v>
      </c>
      <c r="E38" s="1">
        <v>45325.998826970666</v>
      </c>
    </row>
    <row r="39" spans="1:5" x14ac:dyDescent="0.25">
      <c r="A39" t="s">
        <v>381</v>
      </c>
      <c r="B39" t="s">
        <v>36</v>
      </c>
      <c r="C39" s="4" t="str">
        <f>_xlfn.XLOOKUP(Refunds[[#This Row],[Transaction_ID]],Transactions!A:A,Transactions!C:C)</f>
        <v>E1202</v>
      </c>
      <c r="D39">
        <v>12000</v>
      </c>
      <c r="E39" s="1">
        <v>45351.763529036703</v>
      </c>
    </row>
    <row r="40" spans="1:5" x14ac:dyDescent="0.25">
      <c r="A40" t="s">
        <v>382</v>
      </c>
      <c r="B40" t="s">
        <v>115</v>
      </c>
      <c r="C40" s="4" t="str">
        <f>_xlfn.XLOOKUP(Refunds[[#This Row],[Transaction_ID]],Transactions!A:A,Transactions!C:C)</f>
        <v>E1049</v>
      </c>
      <c r="D40">
        <v>12000</v>
      </c>
      <c r="E40" s="1">
        <v>45488.974227500054</v>
      </c>
    </row>
    <row r="41" spans="1:5" x14ac:dyDescent="0.25">
      <c r="A41" t="s">
        <v>383</v>
      </c>
      <c r="B41" t="s">
        <v>279</v>
      </c>
      <c r="C41" s="4" t="str">
        <f>_xlfn.XLOOKUP(Refunds[[#This Row],[Transaction_ID]],Transactions!A:A,Transactions!C:C)</f>
        <v>E1017</v>
      </c>
      <c r="D41">
        <v>12000</v>
      </c>
      <c r="E41" s="1">
        <v>45367.943408490348</v>
      </c>
    </row>
    <row r="42" spans="1:5" x14ac:dyDescent="0.25">
      <c r="A42" t="s">
        <v>384</v>
      </c>
      <c r="B42" t="s">
        <v>273</v>
      </c>
      <c r="C42" s="4" t="str">
        <f>_xlfn.XLOOKUP(Refunds[[#This Row],[Transaction_ID]],Transactions!A:A,Transactions!C:C)</f>
        <v>E1024</v>
      </c>
      <c r="D42">
        <v>12000</v>
      </c>
      <c r="E42" s="1">
        <v>45463.113340586468</v>
      </c>
    </row>
    <row r="43" spans="1:5" x14ac:dyDescent="0.25">
      <c r="A43" t="s">
        <v>385</v>
      </c>
      <c r="B43" t="s">
        <v>223</v>
      </c>
      <c r="C43" s="4" t="str">
        <f>_xlfn.XLOOKUP(Refunds[[#This Row],[Transaction_ID]],Transactions!A:A,Transactions!C:C)</f>
        <v>E1190</v>
      </c>
      <c r="D43">
        <v>5000</v>
      </c>
      <c r="E43" s="1">
        <v>45491.089001236367</v>
      </c>
    </row>
    <row r="44" spans="1:5" x14ac:dyDescent="0.25">
      <c r="A44" t="s">
        <v>386</v>
      </c>
      <c r="B44" t="s">
        <v>294</v>
      </c>
      <c r="C44" s="4" t="str">
        <f>_xlfn.XLOOKUP(Refunds[[#This Row],[Transaction_ID]],Transactions!A:A,Transactions!C:C)</f>
        <v>E1144</v>
      </c>
      <c r="D44">
        <v>9000</v>
      </c>
      <c r="E44" s="1">
        <v>45433.637921315327</v>
      </c>
    </row>
    <row r="45" spans="1:5" x14ac:dyDescent="0.25">
      <c r="A45" t="s">
        <v>387</v>
      </c>
      <c r="B45" t="s">
        <v>97</v>
      </c>
      <c r="C45" s="4" t="str">
        <f>_xlfn.XLOOKUP(Refunds[[#This Row],[Transaction_ID]],Transactions!A:A,Transactions!C:C)</f>
        <v>E1218</v>
      </c>
      <c r="D45">
        <v>12000</v>
      </c>
      <c r="E45" s="1">
        <v>45401.978737720252</v>
      </c>
    </row>
    <row r="46" spans="1:5" x14ac:dyDescent="0.25">
      <c r="A46" t="s">
        <v>388</v>
      </c>
      <c r="B46" t="s">
        <v>221</v>
      </c>
      <c r="C46" s="4" t="str">
        <f>_xlfn.XLOOKUP(Refunds[[#This Row],[Transaction_ID]],Transactions!A:A,Transactions!C:C)</f>
        <v>E1171</v>
      </c>
      <c r="D46">
        <v>5000</v>
      </c>
      <c r="E46" s="1">
        <v>45463.108712060668</v>
      </c>
    </row>
    <row r="47" spans="1:5" x14ac:dyDescent="0.25">
      <c r="A47" t="s">
        <v>389</v>
      </c>
      <c r="B47" t="s">
        <v>103</v>
      </c>
      <c r="C47" s="4" t="str">
        <f>_xlfn.XLOOKUP(Refunds[[#This Row],[Transaction_ID]],Transactions!A:A,Transactions!C:C)</f>
        <v>E1099</v>
      </c>
      <c r="D47">
        <v>5000</v>
      </c>
      <c r="E47" s="1">
        <v>45391.725135235523</v>
      </c>
    </row>
    <row r="48" spans="1:5" x14ac:dyDescent="0.25">
      <c r="A48" t="s">
        <v>390</v>
      </c>
      <c r="B48" t="s">
        <v>227</v>
      </c>
      <c r="C48" s="4" t="str">
        <f>_xlfn.XLOOKUP(Refunds[[#This Row],[Transaction_ID]],Transactions!A:A,Transactions!C:C)</f>
        <v>E1054</v>
      </c>
      <c r="D48">
        <v>5000</v>
      </c>
      <c r="E48" s="1">
        <v>45421.71590631963</v>
      </c>
    </row>
    <row r="49" spans="1:5" x14ac:dyDescent="0.25">
      <c r="A49" t="s">
        <v>391</v>
      </c>
      <c r="B49" t="s">
        <v>49</v>
      </c>
      <c r="C49" s="4" t="str">
        <f>_xlfn.XLOOKUP(Refunds[[#This Row],[Transaction_ID]],Transactions!A:A,Transactions!C:C)</f>
        <v>E1204</v>
      </c>
      <c r="D49">
        <v>12000</v>
      </c>
      <c r="E49" s="1">
        <v>45371.094636307957</v>
      </c>
    </row>
    <row r="50" spans="1:5" x14ac:dyDescent="0.25">
      <c r="A50" t="s">
        <v>392</v>
      </c>
      <c r="B50" t="s">
        <v>140</v>
      </c>
      <c r="C50" s="4" t="str">
        <f>_xlfn.XLOOKUP(Refunds[[#This Row],[Transaction_ID]],Transactions!A:A,Transactions!C:C)</f>
        <v>E1090</v>
      </c>
      <c r="D50">
        <v>12000</v>
      </c>
      <c r="E50" s="1">
        <v>45350.996711699758</v>
      </c>
    </row>
    <row r="51" spans="1:5" x14ac:dyDescent="0.25">
      <c r="A51" t="s">
        <v>393</v>
      </c>
      <c r="B51" t="s">
        <v>58</v>
      </c>
      <c r="C51" s="4" t="str">
        <f>_xlfn.XLOOKUP(Refunds[[#This Row],[Transaction_ID]],Transactions!A:A,Transactions!C:C)</f>
        <v>E1209</v>
      </c>
      <c r="D51">
        <v>7000</v>
      </c>
      <c r="E51" s="1">
        <v>45386.407237580337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SHARIQ</cp:lastModifiedBy>
  <dcterms:created xsi:type="dcterms:W3CDTF">2026-02-19T05:57:49Z</dcterms:created>
  <dcterms:modified xsi:type="dcterms:W3CDTF">2026-03-09T17:49:11Z</dcterms:modified>
</cp:coreProperties>
</file>